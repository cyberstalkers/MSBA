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615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qiller/Downloads/MSBA/MSBA 7017 FE/HW/Assignment1-bonds/"/>
    </mc:Choice>
  </mc:AlternateContent>
  <bookViews>
    <workbookView xWindow="2460" yWindow="460" windowWidth="26320" windowHeight="16580" activeTab="2"/>
  </bookViews>
  <sheets>
    <sheet name="spotCurvep4" sheetId="6" r:id="rId1"/>
    <sheet name="spotCurve_p3Spline_knot4" sheetId="1" r:id="rId2"/>
    <sheet name="Immunization" sheetId="3" r:id="rId3"/>
  </sheets>
  <definedNames>
    <definedName name="solver_adj" localSheetId="2" hidden="1">Immunization!$P$3,Immunization!$Q$3</definedName>
    <definedName name="solver_adj" localSheetId="1" hidden="1">spotCurve_p3Spline_knot4!$W$3,spotCurve_p3Spline_knot4!$W$4,spotCurve_p3Spline_knot4!$W$5,spotCurve_p3Spline_knot4!$W$6,spotCurve_p3Spline_knot4!$W$7,spotCurve_p3Spline_knot4!$W$8,spotCurve_p3Spline_knot4!$W$9,spotCurve_p3Spline_knot4!$W$10</definedName>
    <definedName name="solver_adj" localSheetId="0" hidden="1">spotCurvep4!$W$3,spotCurvep4!$W$4,spotCurvep4!$W$5,spotCurvep4!$W$6,spotCurvep4!$W$7,spotCurvep4!$W$8,spotCurvep4!$W$9,spotCurvep4!$W$10</definedName>
    <definedName name="solver_cvg" localSheetId="2" hidden="1">0.0001</definedName>
    <definedName name="solver_cvg" localSheetId="1" hidden="1">0.0001</definedName>
    <definedName name="solver_cvg" localSheetId="0" hidden="1">0.0001</definedName>
    <definedName name="solver_drv" localSheetId="2" hidden="1">1</definedName>
    <definedName name="solver_drv" localSheetId="1" hidden="1">2</definedName>
    <definedName name="solver_drv" localSheetId="0" hidden="1">2</definedName>
    <definedName name="solver_eng" localSheetId="2" hidden="1">1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est" localSheetId="0" hidden="1">1</definedName>
    <definedName name="solver_itr" localSheetId="2" hidden="1">2147483647</definedName>
    <definedName name="solver_itr" localSheetId="1" hidden="1">2147483647</definedName>
    <definedName name="solver_itr" localSheetId="0" hidden="1">2147483647</definedName>
    <definedName name="solver_lhs1" localSheetId="2" hidden="1">Immunization!$P$3:$Q$3</definedName>
    <definedName name="solver_lhs1" localSheetId="1" hidden="1">spotCurve_p3Spline_knot4!$W$10</definedName>
    <definedName name="solver_lhs1" localSheetId="0" hidden="1">spotCurvep4!$W$10</definedName>
    <definedName name="solver_lhs10" localSheetId="1" hidden="1">spotCurve_p3Spline_knot4!$W$6</definedName>
    <definedName name="solver_lhs10" localSheetId="0" hidden="1">spotCurvep4!$W$6</definedName>
    <definedName name="solver_lhs11" localSheetId="1" hidden="1">spotCurve_p3Spline_knot4!$W$7</definedName>
    <definedName name="solver_lhs11" localSheetId="0" hidden="1">spotCurvep4!$W$7</definedName>
    <definedName name="solver_lhs12" localSheetId="1" hidden="1">spotCurve_p3Spline_knot4!$W$7</definedName>
    <definedName name="solver_lhs12" localSheetId="0" hidden="1">spotCurvep4!$W$7</definedName>
    <definedName name="solver_lhs13" localSheetId="1" hidden="1">spotCurve_p3Spline_knot4!$W$8</definedName>
    <definedName name="solver_lhs13" localSheetId="0" hidden="1">spotCurvep4!$W$8</definedName>
    <definedName name="solver_lhs14" localSheetId="1" hidden="1">spotCurve_p3Spline_knot4!$W$8</definedName>
    <definedName name="solver_lhs14" localSheetId="0" hidden="1">spotCurvep4!$W$8</definedName>
    <definedName name="solver_lhs15" localSheetId="1" hidden="1">spotCurve_p3Spline_knot4!$W$9</definedName>
    <definedName name="solver_lhs15" localSheetId="0" hidden="1">spotCurvep4!$W$9</definedName>
    <definedName name="solver_lhs16" localSheetId="1" hidden="1">spotCurve_p3Spline_knot4!$W$9</definedName>
    <definedName name="solver_lhs16" localSheetId="0" hidden="1">spotCurvep4!$W$9</definedName>
    <definedName name="solver_lhs2" localSheetId="1" hidden="1">spotCurve_p3Spline_knot4!$W$10</definedName>
    <definedName name="solver_lhs2" localSheetId="0" hidden="1">spotCurvep4!$W$10</definedName>
    <definedName name="solver_lhs3" localSheetId="1" hidden="1">spotCurve_p3Spline_knot4!$W$3</definedName>
    <definedName name="solver_lhs3" localSheetId="0" hidden="1">spotCurvep4!$W$3</definedName>
    <definedName name="solver_lhs4" localSheetId="1" hidden="1">spotCurve_p3Spline_knot4!$W$3</definedName>
    <definedName name="solver_lhs4" localSheetId="0" hidden="1">spotCurvep4!$W$3</definedName>
    <definedName name="solver_lhs5" localSheetId="1" hidden="1">spotCurve_p3Spline_knot4!$W$4</definedName>
    <definedName name="solver_lhs5" localSheetId="0" hidden="1">spotCurvep4!$W$4</definedName>
    <definedName name="solver_lhs6" localSheetId="1" hidden="1">spotCurve_p3Spline_knot4!$W$4</definedName>
    <definedName name="solver_lhs6" localSheetId="0" hidden="1">spotCurvep4!$W$4</definedName>
    <definedName name="solver_lhs7" localSheetId="1" hidden="1">spotCurve_p3Spline_knot4!$W$5</definedName>
    <definedName name="solver_lhs7" localSheetId="0" hidden="1">spotCurvep4!$W$5</definedName>
    <definedName name="solver_lhs8" localSheetId="1" hidden="1">spotCurve_p3Spline_knot4!$W$5</definedName>
    <definedName name="solver_lhs8" localSheetId="0" hidden="1">spotCurvep4!$W$5</definedName>
    <definedName name="solver_lhs9" localSheetId="1" hidden="1">spotCurve_p3Spline_knot4!$W$6</definedName>
    <definedName name="solver_lhs9" localSheetId="0" hidden="1">spotCurvep4!$W$6</definedName>
    <definedName name="solver_lin" localSheetId="2" hidden="1">2</definedName>
    <definedName name="solver_lin" localSheetId="0" hidden="1">2</definedName>
    <definedName name="solver_mip" localSheetId="2" hidden="1">2147483647</definedName>
    <definedName name="solver_mip" localSheetId="1" hidden="1">2147483647</definedName>
    <definedName name="solver_mip" localSheetId="0" hidden="1">2147483647</definedName>
    <definedName name="solver_mni" localSheetId="2" hidden="1">30</definedName>
    <definedName name="solver_mni" localSheetId="1" hidden="1">30</definedName>
    <definedName name="solver_mni" localSheetId="0" hidden="1">30</definedName>
    <definedName name="solver_mrt" localSheetId="2" hidden="1">0.075</definedName>
    <definedName name="solver_mrt" localSheetId="1" hidden="1">0.075</definedName>
    <definedName name="solver_mrt" localSheetId="0" hidden="1">0.075</definedName>
    <definedName name="solver_msl" localSheetId="2" hidden="1">2</definedName>
    <definedName name="solver_msl" localSheetId="1" hidden="1">1</definedName>
    <definedName name="solver_msl" localSheetId="0" hidden="1">1</definedName>
    <definedName name="solver_neg" localSheetId="2" hidden="1">1</definedName>
    <definedName name="solver_neg" localSheetId="1" hidden="1">1</definedName>
    <definedName name="solver_neg" localSheetId="0" hidden="1">1</definedName>
    <definedName name="solver_nod" localSheetId="2" hidden="1">2147483647</definedName>
    <definedName name="solver_nod" localSheetId="1" hidden="1">2147483647</definedName>
    <definedName name="solver_nod" localSheetId="0" hidden="1">2147483647</definedName>
    <definedName name="solver_num" localSheetId="2" hidden="1">1</definedName>
    <definedName name="solver_num" localSheetId="1" hidden="1">16</definedName>
    <definedName name="solver_num" localSheetId="0" hidden="1">16</definedName>
    <definedName name="solver_nwt" localSheetId="1" hidden="1">1</definedName>
    <definedName name="solver_nwt" localSheetId="0" hidden="1">1</definedName>
    <definedName name="solver_opt" localSheetId="2" hidden="1">Immunization!$R$3</definedName>
    <definedName name="solver_opt" localSheetId="1" hidden="1">spotCurve_p3Spline_knot4!$S$3</definedName>
    <definedName name="solver_opt" localSheetId="0" hidden="1">spotCurvep4!$S$3</definedName>
    <definedName name="solver_pre" localSheetId="2" hidden="1">0.000001</definedName>
    <definedName name="solver_pre" localSheetId="1" hidden="1">0.000001</definedName>
    <definedName name="solver_pre" localSheetId="0" hidden="1">0.000001</definedName>
    <definedName name="solver_rbv" localSheetId="2" hidden="1">1</definedName>
    <definedName name="solver_rbv" localSheetId="1" hidden="1">1</definedName>
    <definedName name="solver_rbv" localSheetId="0" hidden="1">1</definedName>
    <definedName name="solver_rel1" localSheetId="2" hidden="1">3</definedName>
    <definedName name="solver_rel1" localSheetId="1" hidden="1">1</definedName>
    <definedName name="solver_rel1" localSheetId="0" hidden="1">1</definedName>
    <definedName name="solver_rel10" localSheetId="1" hidden="1">3</definedName>
    <definedName name="solver_rel10" localSheetId="0" hidden="1">3</definedName>
    <definedName name="solver_rel11" localSheetId="1" hidden="1">1</definedName>
    <definedName name="solver_rel11" localSheetId="0" hidden="1">1</definedName>
    <definedName name="solver_rel12" localSheetId="1" hidden="1">3</definedName>
    <definedName name="solver_rel12" localSheetId="0" hidden="1">3</definedName>
    <definedName name="solver_rel13" localSheetId="1" hidden="1">1</definedName>
    <definedName name="solver_rel13" localSheetId="0" hidden="1">1</definedName>
    <definedName name="solver_rel14" localSheetId="1" hidden="1">3</definedName>
    <definedName name="solver_rel14" localSheetId="0" hidden="1">3</definedName>
    <definedName name="solver_rel15" localSheetId="1" hidden="1">1</definedName>
    <definedName name="solver_rel15" localSheetId="0" hidden="1">1</definedName>
    <definedName name="solver_rel16" localSheetId="1" hidden="1">3</definedName>
    <definedName name="solver_rel16" localSheetId="0" hidden="1">3</definedName>
    <definedName name="solver_rel2" localSheetId="1" hidden="1">3</definedName>
    <definedName name="solver_rel2" localSheetId="0" hidden="1">3</definedName>
    <definedName name="solver_rel3" localSheetId="1" hidden="1">1</definedName>
    <definedName name="solver_rel3" localSheetId="0" hidden="1">1</definedName>
    <definedName name="solver_rel4" localSheetId="1" hidden="1">3</definedName>
    <definedName name="solver_rel4" localSheetId="0" hidden="1">3</definedName>
    <definedName name="solver_rel5" localSheetId="1" hidden="1">1</definedName>
    <definedName name="solver_rel5" localSheetId="0" hidden="1">1</definedName>
    <definedName name="solver_rel6" localSheetId="1" hidden="1">3</definedName>
    <definedName name="solver_rel6" localSheetId="0" hidden="1">3</definedName>
    <definedName name="solver_rel7" localSheetId="1" hidden="1">1</definedName>
    <definedName name="solver_rel7" localSheetId="0" hidden="1">1</definedName>
    <definedName name="solver_rel8" localSheetId="1" hidden="1">3</definedName>
    <definedName name="solver_rel8" localSheetId="0" hidden="1">3</definedName>
    <definedName name="solver_rel9" localSheetId="1" hidden="1">1</definedName>
    <definedName name="solver_rel9" localSheetId="0" hidden="1">1</definedName>
    <definedName name="solver_rhs1" localSheetId="2" hidden="1">Immunization!$P$5</definedName>
    <definedName name="solver_rhs1" localSheetId="1" hidden="1">spotCurve_p3Spline_knot4!$Y$10</definedName>
    <definedName name="solver_rhs1" localSheetId="0" hidden="1">spotCurvep4!$Y$10</definedName>
    <definedName name="solver_rhs10" localSheetId="1" hidden="1">spotCurve_p3Spline_knot4!$X$6</definedName>
    <definedName name="solver_rhs10" localSheetId="0" hidden="1">spotCurvep4!$X$6</definedName>
    <definedName name="solver_rhs11" localSheetId="1" hidden="1">spotCurve_p3Spline_knot4!$Y$7</definedName>
    <definedName name="solver_rhs11" localSheetId="0" hidden="1">spotCurvep4!$Y$7</definedName>
    <definedName name="solver_rhs12" localSheetId="1" hidden="1">spotCurve_p3Spline_knot4!$X$7</definedName>
    <definedName name="solver_rhs12" localSheetId="0" hidden="1">spotCurvep4!$X$7</definedName>
    <definedName name="solver_rhs13" localSheetId="1" hidden="1">spotCurve_p3Spline_knot4!$Y$8</definedName>
    <definedName name="solver_rhs13" localSheetId="0" hidden="1">spotCurvep4!$Y$8</definedName>
    <definedName name="solver_rhs14" localSheetId="1" hidden="1">spotCurve_p3Spline_knot4!$X$8</definedName>
    <definedName name="solver_rhs14" localSheetId="0" hidden="1">spotCurvep4!$X$8</definedName>
    <definedName name="solver_rhs15" localSheetId="1" hidden="1">spotCurve_p3Spline_knot4!$Y$9</definedName>
    <definedName name="solver_rhs15" localSheetId="0" hidden="1">spotCurvep4!$Y$9</definedName>
    <definedName name="solver_rhs16" localSheetId="1" hidden="1">spotCurve_p3Spline_knot4!$X$9</definedName>
    <definedName name="solver_rhs16" localSheetId="0" hidden="1">spotCurvep4!$X$9</definedName>
    <definedName name="solver_rhs2" localSheetId="1" hidden="1">spotCurve_p3Spline_knot4!$X$10</definedName>
    <definedName name="solver_rhs2" localSheetId="0" hidden="1">spotCurvep4!$X$10</definedName>
    <definedName name="solver_rhs3" localSheetId="1" hidden="1">spotCurve_p3Spline_knot4!$Y$3</definedName>
    <definedName name="solver_rhs3" localSheetId="0" hidden="1">spotCurvep4!$Y$3</definedName>
    <definedName name="solver_rhs4" localSheetId="1" hidden="1">spotCurve_p3Spline_knot4!$X$3</definedName>
    <definedName name="solver_rhs4" localSheetId="0" hidden="1">spotCurvep4!$X$3</definedName>
    <definedName name="solver_rhs5" localSheetId="1" hidden="1">spotCurve_p3Spline_knot4!$Y$4</definedName>
    <definedName name="solver_rhs5" localSheetId="0" hidden="1">spotCurvep4!$Y$4</definedName>
    <definedName name="solver_rhs6" localSheetId="1" hidden="1">spotCurve_p3Spline_knot4!$X$4</definedName>
    <definedName name="solver_rhs6" localSheetId="0" hidden="1">spotCurvep4!$X$4</definedName>
    <definedName name="solver_rhs7" localSheetId="1" hidden="1">spotCurve_p3Spline_knot4!$Y$5</definedName>
    <definedName name="solver_rhs7" localSheetId="0" hidden="1">spotCurvep4!$Y$5</definedName>
    <definedName name="solver_rhs8" localSheetId="1" hidden="1">spotCurve_p3Spline_knot4!$X$5</definedName>
    <definedName name="solver_rhs8" localSheetId="0" hidden="1">spotCurvep4!$X$5</definedName>
    <definedName name="solver_rhs9" localSheetId="1" hidden="1">spotCurve_p3Spline_knot4!$Y$6</definedName>
    <definedName name="solver_rhs9" localSheetId="0" hidden="1">spotCurvep4!$Y$6</definedName>
    <definedName name="solver_rlx" localSheetId="2" hidden="1">2</definedName>
    <definedName name="solver_rlx" localSheetId="1" hidden="1">2</definedName>
    <definedName name="solver_rlx" localSheetId="0" hidden="1">2</definedName>
    <definedName name="solver_rsd" localSheetId="2" hidden="1">0</definedName>
    <definedName name="solver_rsd" localSheetId="1" hidden="1">0</definedName>
    <definedName name="solver_rsd" localSheetId="0" hidden="1">0</definedName>
    <definedName name="solver_scl" localSheetId="2" hidden="1">1</definedName>
    <definedName name="solver_scl" localSheetId="1" hidden="1">1</definedName>
    <definedName name="solver_scl" localSheetId="0" hidden="1">1</definedName>
    <definedName name="solver_sho" localSheetId="2" hidden="1">2</definedName>
    <definedName name="solver_sho" localSheetId="1" hidden="1">2</definedName>
    <definedName name="solver_sho" localSheetId="0" hidden="1">2</definedName>
    <definedName name="solver_ssz" localSheetId="2" hidden="1">100</definedName>
    <definedName name="solver_ssz" localSheetId="1" hidden="1">25</definedName>
    <definedName name="solver_ssz" localSheetId="0" hidden="1">25</definedName>
    <definedName name="solver_tim" localSheetId="2" hidden="1">2147483647</definedName>
    <definedName name="solver_tim" localSheetId="1" hidden="1">2147483647</definedName>
    <definedName name="solver_tim" localSheetId="0" hidden="1">2147483647</definedName>
    <definedName name="solver_tol" localSheetId="2" hidden="1">0.01</definedName>
    <definedName name="solver_tol" localSheetId="1" hidden="1">0.01</definedName>
    <definedName name="solver_tol" localSheetId="0" hidden="1">0.01</definedName>
    <definedName name="solver_typ" localSheetId="2" hidden="1">2</definedName>
    <definedName name="solver_typ" localSheetId="1" hidden="1">2</definedName>
    <definedName name="solver_typ" localSheetId="0" hidden="1">2</definedName>
    <definedName name="solver_val" localSheetId="2" hidden="1">0</definedName>
    <definedName name="solver_val" localSheetId="1" hidden="1">0</definedName>
    <definedName name="solver_val" localSheetId="0" hidden="1">0</definedName>
    <definedName name="solver_ver" localSheetId="2" hidden="1">2</definedName>
    <definedName name="solver_ver" localSheetId="1" hidden="1">3</definedName>
    <definedName name="solver_ver" localSheetId="0" hidden="1">2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2" i="3" l="1"/>
  <c r="J131" i="3"/>
  <c r="P3" i="3" a="1"/>
  <c r="P3" i="3"/>
  <c r="Q3" i="3"/>
  <c r="AD4" i="6"/>
  <c r="AD5" i="6"/>
  <c r="AD6" i="6"/>
  <c r="AD7" i="6"/>
  <c r="AD8" i="6"/>
  <c r="AD9" i="6"/>
  <c r="AD10" i="6"/>
  <c r="AD11" i="6"/>
  <c r="AD12" i="6"/>
  <c r="AD13" i="6"/>
  <c r="AD14" i="6"/>
  <c r="AD15" i="6"/>
  <c r="AD16" i="6"/>
  <c r="AD17" i="6"/>
  <c r="AD18" i="6"/>
  <c r="AD19" i="6"/>
  <c r="AD20" i="6"/>
  <c r="AD21" i="6"/>
  <c r="AD22" i="6"/>
  <c r="AD23" i="6"/>
  <c r="AD24" i="6"/>
  <c r="AD25" i="6"/>
  <c r="AD26" i="6"/>
  <c r="AD27" i="6"/>
  <c r="AD28" i="6"/>
  <c r="AD29" i="6"/>
  <c r="AD30" i="6"/>
  <c r="AD31" i="6"/>
  <c r="AD32" i="6"/>
  <c r="AD33" i="6"/>
  <c r="AD34" i="6"/>
  <c r="AD35" i="6"/>
  <c r="AD36" i="6"/>
  <c r="AD37" i="6"/>
  <c r="AD38" i="6"/>
  <c r="AD39" i="6"/>
  <c r="AD40" i="6"/>
  <c r="AD41" i="6"/>
  <c r="AD42" i="6"/>
  <c r="AD43" i="6"/>
  <c r="AD44" i="6"/>
  <c r="AD45" i="6"/>
  <c r="AD46" i="6"/>
  <c r="AD47" i="6"/>
  <c r="AD48" i="6"/>
  <c r="AD49" i="6"/>
  <c r="AD50" i="6"/>
  <c r="AD51" i="6"/>
  <c r="AD52" i="6"/>
  <c r="AD53" i="6"/>
  <c r="AD54" i="6"/>
  <c r="AD55" i="6"/>
  <c r="AD56" i="6"/>
  <c r="AD57" i="6"/>
  <c r="AD58" i="6"/>
  <c r="AD59" i="6"/>
  <c r="AD60" i="6"/>
  <c r="AD61" i="6"/>
  <c r="AD62" i="6"/>
  <c r="AD63" i="6"/>
  <c r="AD64" i="6"/>
  <c r="AD65" i="6"/>
  <c r="AD66" i="6"/>
  <c r="AD67" i="6"/>
  <c r="AD68" i="6"/>
  <c r="AD69" i="6"/>
  <c r="AD70" i="6"/>
  <c r="AD71" i="6"/>
  <c r="AD72" i="6"/>
  <c r="AD73" i="6"/>
  <c r="AD74" i="6"/>
  <c r="AD75" i="6"/>
  <c r="AD76" i="6"/>
  <c r="AD77" i="6"/>
  <c r="AD78" i="6"/>
  <c r="AD79" i="6"/>
  <c r="AD80" i="6"/>
  <c r="AD81" i="6"/>
  <c r="AD82" i="6"/>
  <c r="AD83" i="6"/>
  <c r="AD84" i="6"/>
  <c r="AD85" i="6"/>
  <c r="AD86" i="6"/>
  <c r="AD87" i="6"/>
  <c r="AD88" i="6"/>
  <c r="AD89" i="6"/>
  <c r="AD90" i="6"/>
  <c r="AD91" i="6"/>
  <c r="AD92" i="6"/>
  <c r="AD93" i="6"/>
  <c r="AD94" i="6"/>
  <c r="AD95" i="6"/>
  <c r="AD96" i="6"/>
  <c r="AD97" i="6"/>
  <c r="AD98" i="6"/>
  <c r="AD99" i="6"/>
  <c r="AD100" i="6"/>
  <c r="AD101" i="6"/>
  <c r="AD102" i="6"/>
  <c r="AD103" i="6"/>
  <c r="AD104" i="6"/>
  <c r="AD105" i="6"/>
  <c r="AD106" i="6"/>
  <c r="AD107" i="6"/>
  <c r="AD108" i="6"/>
  <c r="AD109" i="6"/>
  <c r="AD110" i="6"/>
  <c r="AD111" i="6"/>
  <c r="AD112" i="6"/>
  <c r="AD113" i="6"/>
  <c r="AD114" i="6"/>
  <c r="AD115" i="6"/>
  <c r="AD116" i="6"/>
  <c r="AD117" i="6"/>
  <c r="AD118" i="6"/>
  <c r="AD119" i="6"/>
  <c r="AD120" i="6"/>
  <c r="AD121" i="6"/>
  <c r="AD122" i="6"/>
  <c r="AD123" i="6"/>
  <c r="AD124" i="6"/>
  <c r="AD125" i="6"/>
  <c r="AD126" i="6"/>
  <c r="AD127" i="6"/>
  <c r="AD128" i="6"/>
  <c r="AD129" i="6"/>
  <c r="AD130" i="6"/>
  <c r="AD131" i="6"/>
  <c r="AD132" i="6"/>
  <c r="AD133" i="6"/>
  <c r="AD134" i="6"/>
  <c r="AD135" i="6"/>
  <c r="AD136" i="6"/>
  <c r="AD137" i="6"/>
  <c r="AD138" i="6"/>
  <c r="AD139" i="6"/>
  <c r="AD140" i="6"/>
  <c r="AD141" i="6"/>
  <c r="AD142" i="6"/>
  <c r="AD143" i="6"/>
  <c r="AD144" i="6"/>
  <c r="AD145" i="6"/>
  <c r="AD146" i="6"/>
  <c r="AD147" i="6"/>
  <c r="AD148" i="6"/>
  <c r="AD149" i="6"/>
  <c r="AD150" i="6"/>
  <c r="AD151" i="6"/>
  <c r="AD152" i="6"/>
  <c r="AD153" i="6"/>
  <c r="AD154" i="6"/>
  <c r="AD155" i="6"/>
  <c r="AD156" i="6"/>
  <c r="AD157" i="6"/>
  <c r="AD158" i="6"/>
  <c r="AD159" i="6"/>
  <c r="AD160" i="6"/>
  <c r="AD161" i="6"/>
  <c r="AD162" i="6"/>
  <c r="AD163" i="6"/>
  <c r="AD164" i="6"/>
  <c r="AD165" i="6"/>
  <c r="AD166" i="6"/>
  <c r="AD167" i="6"/>
  <c r="AD168" i="6"/>
  <c r="AD169" i="6"/>
  <c r="AD170" i="6"/>
  <c r="AD171" i="6"/>
  <c r="AD172" i="6"/>
  <c r="AD173" i="6"/>
  <c r="AD174" i="6"/>
  <c r="AD175" i="6"/>
  <c r="AD176" i="6"/>
  <c r="AD177" i="6"/>
  <c r="AD178" i="6"/>
  <c r="AD179" i="6"/>
  <c r="AD180" i="6"/>
  <c r="AD181" i="6"/>
  <c r="AD182" i="6"/>
  <c r="AD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3" i="6"/>
  <c r="K3" i="6"/>
  <c r="G182" i="6"/>
  <c r="H182" i="6"/>
  <c r="I182" i="6"/>
  <c r="K182" i="6"/>
  <c r="N182" i="6"/>
  <c r="O182" i="6"/>
  <c r="L182" i="6"/>
  <c r="M182" i="6"/>
  <c r="G181" i="6"/>
  <c r="H181" i="6"/>
  <c r="I181" i="6"/>
  <c r="K181" i="6"/>
  <c r="N181" i="6"/>
  <c r="O181" i="6"/>
  <c r="L181" i="6"/>
  <c r="M181" i="6"/>
  <c r="G180" i="6"/>
  <c r="H180" i="6"/>
  <c r="I180" i="6"/>
  <c r="K180" i="6"/>
  <c r="N180" i="6"/>
  <c r="O180" i="6"/>
  <c r="L180" i="6"/>
  <c r="M180" i="6"/>
  <c r="G179" i="6"/>
  <c r="H179" i="6"/>
  <c r="I179" i="6"/>
  <c r="K179" i="6"/>
  <c r="N179" i="6"/>
  <c r="O179" i="6"/>
  <c r="L179" i="6"/>
  <c r="M179" i="6"/>
  <c r="G178" i="6"/>
  <c r="H178" i="6"/>
  <c r="I178" i="6"/>
  <c r="K178" i="6"/>
  <c r="N178" i="6"/>
  <c r="O178" i="6"/>
  <c r="L178" i="6"/>
  <c r="M178" i="6"/>
  <c r="G177" i="6"/>
  <c r="H177" i="6"/>
  <c r="I177" i="6"/>
  <c r="K177" i="6"/>
  <c r="N177" i="6"/>
  <c r="O177" i="6"/>
  <c r="L177" i="6"/>
  <c r="M177" i="6"/>
  <c r="G176" i="6"/>
  <c r="H176" i="6"/>
  <c r="I176" i="6"/>
  <c r="K176" i="6"/>
  <c r="N176" i="6"/>
  <c r="O176" i="6"/>
  <c r="L176" i="6"/>
  <c r="M176" i="6"/>
  <c r="G175" i="6"/>
  <c r="H175" i="6"/>
  <c r="I175" i="6"/>
  <c r="K175" i="6"/>
  <c r="N175" i="6"/>
  <c r="O175" i="6"/>
  <c r="L175" i="6"/>
  <c r="M175" i="6"/>
  <c r="G174" i="6"/>
  <c r="H174" i="6"/>
  <c r="I174" i="6"/>
  <c r="K174" i="6"/>
  <c r="N174" i="6"/>
  <c r="O174" i="6"/>
  <c r="L174" i="6"/>
  <c r="M174" i="6"/>
  <c r="G173" i="6"/>
  <c r="H173" i="6"/>
  <c r="I173" i="6"/>
  <c r="K173" i="6"/>
  <c r="N173" i="6"/>
  <c r="O173" i="6"/>
  <c r="L173" i="6"/>
  <c r="M173" i="6"/>
  <c r="G172" i="6"/>
  <c r="H172" i="6"/>
  <c r="I172" i="6"/>
  <c r="K172" i="6"/>
  <c r="N172" i="6"/>
  <c r="O172" i="6"/>
  <c r="L172" i="6"/>
  <c r="M172" i="6"/>
  <c r="G171" i="6"/>
  <c r="H171" i="6"/>
  <c r="I171" i="6"/>
  <c r="K171" i="6"/>
  <c r="N171" i="6"/>
  <c r="O171" i="6"/>
  <c r="L171" i="6"/>
  <c r="M171" i="6"/>
  <c r="G170" i="6"/>
  <c r="H170" i="6"/>
  <c r="I170" i="6"/>
  <c r="K170" i="6"/>
  <c r="N170" i="6"/>
  <c r="O170" i="6"/>
  <c r="L170" i="6"/>
  <c r="M170" i="6"/>
  <c r="G169" i="6"/>
  <c r="H169" i="6"/>
  <c r="I169" i="6"/>
  <c r="K169" i="6"/>
  <c r="N169" i="6"/>
  <c r="O169" i="6"/>
  <c r="L169" i="6"/>
  <c r="M169" i="6"/>
  <c r="G168" i="6"/>
  <c r="H168" i="6"/>
  <c r="I168" i="6"/>
  <c r="K168" i="6"/>
  <c r="N168" i="6"/>
  <c r="O168" i="6"/>
  <c r="L168" i="6"/>
  <c r="M168" i="6"/>
  <c r="G167" i="6"/>
  <c r="H167" i="6"/>
  <c r="I167" i="6"/>
  <c r="K167" i="6"/>
  <c r="N167" i="6"/>
  <c r="O167" i="6"/>
  <c r="L167" i="6"/>
  <c r="M167" i="6"/>
  <c r="G166" i="6"/>
  <c r="H166" i="6"/>
  <c r="I166" i="6"/>
  <c r="K166" i="6"/>
  <c r="N166" i="6"/>
  <c r="O166" i="6"/>
  <c r="L166" i="6"/>
  <c r="M166" i="6"/>
  <c r="G165" i="6"/>
  <c r="H165" i="6"/>
  <c r="I165" i="6"/>
  <c r="K165" i="6"/>
  <c r="N165" i="6"/>
  <c r="O165" i="6"/>
  <c r="L165" i="6"/>
  <c r="M165" i="6"/>
  <c r="G164" i="6"/>
  <c r="H164" i="6"/>
  <c r="I164" i="6"/>
  <c r="K164" i="6"/>
  <c r="N164" i="6"/>
  <c r="O164" i="6"/>
  <c r="L164" i="6"/>
  <c r="M164" i="6"/>
  <c r="G163" i="6"/>
  <c r="H163" i="6"/>
  <c r="I163" i="6"/>
  <c r="K163" i="6"/>
  <c r="N163" i="6"/>
  <c r="O163" i="6"/>
  <c r="L163" i="6"/>
  <c r="M163" i="6"/>
  <c r="G162" i="6"/>
  <c r="H162" i="6"/>
  <c r="I162" i="6"/>
  <c r="K162" i="6"/>
  <c r="N162" i="6"/>
  <c r="O162" i="6"/>
  <c r="L162" i="6"/>
  <c r="M162" i="6"/>
  <c r="G161" i="6"/>
  <c r="H161" i="6"/>
  <c r="I161" i="6"/>
  <c r="K161" i="6"/>
  <c r="N161" i="6"/>
  <c r="O161" i="6"/>
  <c r="L161" i="6"/>
  <c r="M161" i="6"/>
  <c r="G160" i="6"/>
  <c r="H160" i="6"/>
  <c r="I160" i="6"/>
  <c r="K160" i="6"/>
  <c r="N160" i="6"/>
  <c r="O160" i="6"/>
  <c r="L160" i="6"/>
  <c r="M160" i="6"/>
  <c r="G159" i="6"/>
  <c r="H159" i="6"/>
  <c r="I159" i="6"/>
  <c r="K159" i="6"/>
  <c r="N159" i="6"/>
  <c r="O159" i="6"/>
  <c r="L159" i="6"/>
  <c r="M159" i="6"/>
  <c r="G158" i="6"/>
  <c r="H158" i="6"/>
  <c r="I158" i="6"/>
  <c r="K158" i="6"/>
  <c r="N158" i="6"/>
  <c r="O158" i="6"/>
  <c r="L158" i="6"/>
  <c r="M158" i="6"/>
  <c r="G157" i="6"/>
  <c r="H157" i="6"/>
  <c r="I157" i="6"/>
  <c r="K157" i="6"/>
  <c r="N157" i="6"/>
  <c r="O157" i="6"/>
  <c r="L157" i="6"/>
  <c r="M157" i="6"/>
  <c r="G156" i="6"/>
  <c r="H156" i="6"/>
  <c r="I156" i="6"/>
  <c r="K156" i="6"/>
  <c r="N156" i="6"/>
  <c r="O156" i="6"/>
  <c r="L156" i="6"/>
  <c r="M156" i="6"/>
  <c r="G155" i="6"/>
  <c r="H155" i="6"/>
  <c r="I155" i="6"/>
  <c r="K155" i="6"/>
  <c r="N155" i="6"/>
  <c r="O155" i="6"/>
  <c r="L155" i="6"/>
  <c r="M155" i="6"/>
  <c r="G154" i="6"/>
  <c r="H154" i="6"/>
  <c r="I154" i="6"/>
  <c r="K154" i="6"/>
  <c r="N154" i="6"/>
  <c r="O154" i="6"/>
  <c r="L154" i="6"/>
  <c r="M154" i="6"/>
  <c r="G153" i="6"/>
  <c r="H153" i="6"/>
  <c r="I153" i="6"/>
  <c r="K153" i="6"/>
  <c r="N153" i="6"/>
  <c r="O153" i="6"/>
  <c r="L153" i="6"/>
  <c r="M153" i="6"/>
  <c r="G152" i="6"/>
  <c r="H152" i="6"/>
  <c r="I152" i="6"/>
  <c r="K152" i="6"/>
  <c r="N152" i="6"/>
  <c r="O152" i="6"/>
  <c r="L152" i="6"/>
  <c r="M152" i="6"/>
  <c r="G151" i="6"/>
  <c r="H151" i="6"/>
  <c r="I151" i="6"/>
  <c r="K151" i="6"/>
  <c r="N151" i="6"/>
  <c r="O151" i="6"/>
  <c r="L151" i="6"/>
  <c r="M151" i="6"/>
  <c r="G150" i="6"/>
  <c r="H150" i="6"/>
  <c r="I150" i="6"/>
  <c r="K150" i="6"/>
  <c r="N150" i="6"/>
  <c r="O150" i="6"/>
  <c r="L150" i="6"/>
  <c r="M150" i="6"/>
  <c r="G149" i="6"/>
  <c r="H149" i="6"/>
  <c r="I149" i="6"/>
  <c r="K149" i="6"/>
  <c r="N149" i="6"/>
  <c r="O149" i="6"/>
  <c r="L149" i="6"/>
  <c r="M149" i="6"/>
  <c r="G148" i="6"/>
  <c r="H148" i="6"/>
  <c r="I148" i="6"/>
  <c r="K148" i="6"/>
  <c r="N148" i="6"/>
  <c r="O148" i="6"/>
  <c r="L148" i="6"/>
  <c r="M148" i="6"/>
  <c r="G147" i="6"/>
  <c r="H147" i="6"/>
  <c r="I147" i="6"/>
  <c r="K147" i="6"/>
  <c r="N147" i="6"/>
  <c r="O147" i="6"/>
  <c r="L147" i="6"/>
  <c r="M147" i="6"/>
  <c r="G146" i="6"/>
  <c r="H146" i="6"/>
  <c r="I146" i="6"/>
  <c r="K146" i="6"/>
  <c r="N146" i="6"/>
  <c r="O146" i="6"/>
  <c r="L146" i="6"/>
  <c r="M146" i="6"/>
  <c r="G145" i="6"/>
  <c r="H145" i="6"/>
  <c r="I145" i="6"/>
  <c r="K145" i="6"/>
  <c r="N145" i="6"/>
  <c r="O145" i="6"/>
  <c r="L145" i="6"/>
  <c r="M145" i="6"/>
  <c r="G144" i="6"/>
  <c r="H144" i="6"/>
  <c r="I144" i="6"/>
  <c r="K144" i="6"/>
  <c r="N144" i="6"/>
  <c r="O144" i="6"/>
  <c r="L144" i="6"/>
  <c r="M144" i="6"/>
  <c r="G143" i="6"/>
  <c r="H143" i="6"/>
  <c r="I143" i="6"/>
  <c r="K143" i="6"/>
  <c r="N143" i="6"/>
  <c r="O143" i="6"/>
  <c r="L143" i="6"/>
  <c r="M143" i="6"/>
  <c r="G142" i="6"/>
  <c r="H142" i="6"/>
  <c r="I142" i="6"/>
  <c r="K142" i="6"/>
  <c r="N142" i="6"/>
  <c r="O142" i="6"/>
  <c r="L142" i="6"/>
  <c r="M142" i="6"/>
  <c r="G141" i="6"/>
  <c r="H141" i="6"/>
  <c r="I141" i="6"/>
  <c r="K141" i="6"/>
  <c r="N141" i="6"/>
  <c r="O141" i="6"/>
  <c r="L141" i="6"/>
  <c r="M141" i="6"/>
  <c r="G140" i="6"/>
  <c r="H140" i="6"/>
  <c r="I140" i="6"/>
  <c r="K140" i="6"/>
  <c r="N140" i="6"/>
  <c r="O140" i="6"/>
  <c r="L140" i="6"/>
  <c r="M140" i="6"/>
  <c r="G139" i="6"/>
  <c r="H139" i="6"/>
  <c r="I139" i="6"/>
  <c r="K139" i="6"/>
  <c r="N139" i="6"/>
  <c r="O139" i="6"/>
  <c r="L139" i="6"/>
  <c r="M139" i="6"/>
  <c r="G138" i="6"/>
  <c r="H138" i="6"/>
  <c r="I138" i="6"/>
  <c r="K138" i="6"/>
  <c r="N138" i="6"/>
  <c r="O138" i="6"/>
  <c r="L138" i="6"/>
  <c r="M138" i="6"/>
  <c r="G137" i="6"/>
  <c r="H137" i="6"/>
  <c r="I137" i="6"/>
  <c r="K137" i="6"/>
  <c r="N137" i="6"/>
  <c r="O137" i="6"/>
  <c r="L137" i="6"/>
  <c r="M137" i="6"/>
  <c r="G136" i="6"/>
  <c r="H136" i="6"/>
  <c r="I136" i="6"/>
  <c r="K136" i="6"/>
  <c r="N136" i="6"/>
  <c r="O136" i="6"/>
  <c r="L136" i="6"/>
  <c r="M136" i="6"/>
  <c r="G135" i="6"/>
  <c r="H135" i="6"/>
  <c r="I135" i="6"/>
  <c r="K135" i="6"/>
  <c r="N135" i="6"/>
  <c r="O135" i="6"/>
  <c r="L135" i="6"/>
  <c r="M135" i="6"/>
  <c r="G134" i="6"/>
  <c r="H134" i="6"/>
  <c r="I134" i="6"/>
  <c r="K134" i="6"/>
  <c r="N134" i="6"/>
  <c r="O134" i="6"/>
  <c r="L134" i="6"/>
  <c r="M134" i="6"/>
  <c r="G133" i="6"/>
  <c r="H133" i="6"/>
  <c r="I133" i="6"/>
  <c r="K133" i="6"/>
  <c r="N133" i="6"/>
  <c r="O133" i="6"/>
  <c r="L133" i="6"/>
  <c r="M133" i="6"/>
  <c r="G132" i="6"/>
  <c r="H132" i="6"/>
  <c r="I132" i="6"/>
  <c r="K132" i="6"/>
  <c r="N132" i="6"/>
  <c r="O132" i="6"/>
  <c r="L132" i="6"/>
  <c r="M132" i="6"/>
  <c r="G131" i="6"/>
  <c r="H131" i="6"/>
  <c r="I131" i="6"/>
  <c r="K131" i="6"/>
  <c r="N131" i="6"/>
  <c r="O131" i="6"/>
  <c r="L131" i="6"/>
  <c r="M131" i="6"/>
  <c r="G130" i="6"/>
  <c r="H130" i="6"/>
  <c r="I130" i="6"/>
  <c r="K130" i="6"/>
  <c r="N130" i="6"/>
  <c r="O130" i="6"/>
  <c r="L130" i="6"/>
  <c r="M130" i="6"/>
  <c r="G129" i="6"/>
  <c r="H129" i="6"/>
  <c r="I129" i="6"/>
  <c r="K129" i="6"/>
  <c r="N129" i="6"/>
  <c r="O129" i="6"/>
  <c r="L129" i="6"/>
  <c r="M129" i="6"/>
  <c r="G128" i="6"/>
  <c r="H128" i="6"/>
  <c r="I128" i="6"/>
  <c r="K128" i="6"/>
  <c r="N128" i="6"/>
  <c r="O128" i="6"/>
  <c r="L128" i="6"/>
  <c r="M128" i="6"/>
  <c r="G127" i="6"/>
  <c r="H127" i="6"/>
  <c r="I127" i="6"/>
  <c r="K127" i="6"/>
  <c r="N127" i="6"/>
  <c r="O127" i="6"/>
  <c r="L127" i="6"/>
  <c r="M127" i="6"/>
  <c r="G126" i="6"/>
  <c r="H126" i="6"/>
  <c r="I126" i="6"/>
  <c r="K126" i="6"/>
  <c r="N126" i="6"/>
  <c r="O126" i="6"/>
  <c r="L126" i="6"/>
  <c r="M126" i="6"/>
  <c r="G125" i="6"/>
  <c r="H125" i="6"/>
  <c r="I125" i="6"/>
  <c r="K125" i="6"/>
  <c r="N125" i="6"/>
  <c r="O125" i="6"/>
  <c r="L125" i="6"/>
  <c r="M125" i="6"/>
  <c r="G124" i="6"/>
  <c r="H124" i="6"/>
  <c r="I124" i="6"/>
  <c r="K124" i="6"/>
  <c r="N124" i="6"/>
  <c r="O124" i="6"/>
  <c r="L124" i="6"/>
  <c r="M124" i="6"/>
  <c r="G123" i="6"/>
  <c r="H123" i="6"/>
  <c r="I123" i="6"/>
  <c r="K123" i="6"/>
  <c r="N123" i="6"/>
  <c r="O123" i="6"/>
  <c r="L123" i="6"/>
  <c r="M123" i="6"/>
  <c r="G122" i="6"/>
  <c r="H122" i="6"/>
  <c r="I122" i="6"/>
  <c r="K122" i="6"/>
  <c r="N122" i="6"/>
  <c r="O122" i="6"/>
  <c r="L122" i="6"/>
  <c r="M122" i="6"/>
  <c r="G121" i="6"/>
  <c r="H121" i="6"/>
  <c r="I121" i="6"/>
  <c r="K121" i="6"/>
  <c r="N121" i="6"/>
  <c r="O121" i="6"/>
  <c r="L121" i="6"/>
  <c r="M121" i="6"/>
  <c r="G120" i="6"/>
  <c r="H120" i="6"/>
  <c r="I120" i="6"/>
  <c r="K120" i="6"/>
  <c r="N120" i="6"/>
  <c r="O120" i="6"/>
  <c r="L120" i="6"/>
  <c r="M120" i="6"/>
  <c r="G119" i="6"/>
  <c r="H119" i="6"/>
  <c r="I119" i="6"/>
  <c r="K119" i="6"/>
  <c r="N119" i="6"/>
  <c r="O119" i="6"/>
  <c r="L119" i="6"/>
  <c r="M119" i="6"/>
  <c r="G118" i="6"/>
  <c r="H118" i="6"/>
  <c r="I118" i="6"/>
  <c r="K118" i="6"/>
  <c r="N118" i="6"/>
  <c r="O118" i="6"/>
  <c r="L118" i="6"/>
  <c r="M118" i="6"/>
  <c r="G117" i="6"/>
  <c r="H117" i="6"/>
  <c r="I117" i="6"/>
  <c r="K117" i="6"/>
  <c r="N117" i="6"/>
  <c r="O117" i="6"/>
  <c r="L117" i="6"/>
  <c r="M117" i="6"/>
  <c r="G116" i="6"/>
  <c r="H116" i="6"/>
  <c r="I116" i="6"/>
  <c r="K116" i="6"/>
  <c r="N116" i="6"/>
  <c r="O116" i="6"/>
  <c r="L116" i="6"/>
  <c r="M116" i="6"/>
  <c r="G115" i="6"/>
  <c r="H115" i="6"/>
  <c r="I115" i="6"/>
  <c r="K115" i="6"/>
  <c r="N115" i="6"/>
  <c r="O115" i="6"/>
  <c r="L115" i="6"/>
  <c r="M115" i="6"/>
  <c r="G114" i="6"/>
  <c r="H114" i="6"/>
  <c r="I114" i="6"/>
  <c r="K114" i="6"/>
  <c r="N114" i="6"/>
  <c r="O114" i="6"/>
  <c r="L114" i="6"/>
  <c r="M114" i="6"/>
  <c r="G113" i="6"/>
  <c r="H113" i="6"/>
  <c r="I113" i="6"/>
  <c r="K113" i="6"/>
  <c r="N113" i="6"/>
  <c r="O113" i="6"/>
  <c r="L113" i="6"/>
  <c r="M113" i="6"/>
  <c r="G112" i="6"/>
  <c r="H112" i="6"/>
  <c r="I112" i="6"/>
  <c r="K112" i="6"/>
  <c r="N112" i="6"/>
  <c r="O112" i="6"/>
  <c r="L112" i="6"/>
  <c r="M112" i="6"/>
  <c r="G111" i="6"/>
  <c r="H111" i="6"/>
  <c r="I111" i="6"/>
  <c r="K111" i="6"/>
  <c r="N111" i="6"/>
  <c r="O111" i="6"/>
  <c r="L111" i="6"/>
  <c r="M111" i="6"/>
  <c r="G110" i="6"/>
  <c r="H110" i="6"/>
  <c r="I110" i="6"/>
  <c r="K110" i="6"/>
  <c r="N110" i="6"/>
  <c r="O110" i="6"/>
  <c r="L110" i="6"/>
  <c r="M110" i="6"/>
  <c r="G109" i="6"/>
  <c r="H109" i="6"/>
  <c r="I109" i="6"/>
  <c r="K109" i="6"/>
  <c r="N109" i="6"/>
  <c r="O109" i="6"/>
  <c r="L109" i="6"/>
  <c r="M109" i="6"/>
  <c r="G108" i="6"/>
  <c r="H108" i="6"/>
  <c r="I108" i="6"/>
  <c r="K108" i="6"/>
  <c r="N108" i="6"/>
  <c r="O108" i="6"/>
  <c r="L108" i="6"/>
  <c r="M108" i="6"/>
  <c r="G107" i="6"/>
  <c r="H107" i="6"/>
  <c r="I107" i="6"/>
  <c r="K107" i="6"/>
  <c r="N107" i="6"/>
  <c r="O107" i="6"/>
  <c r="L107" i="6"/>
  <c r="M107" i="6"/>
  <c r="G106" i="6"/>
  <c r="H106" i="6"/>
  <c r="I106" i="6"/>
  <c r="K106" i="6"/>
  <c r="N106" i="6"/>
  <c r="O106" i="6"/>
  <c r="L106" i="6"/>
  <c r="M106" i="6"/>
  <c r="G105" i="6"/>
  <c r="H105" i="6"/>
  <c r="I105" i="6"/>
  <c r="K105" i="6"/>
  <c r="N105" i="6"/>
  <c r="O105" i="6"/>
  <c r="L105" i="6"/>
  <c r="M105" i="6"/>
  <c r="G104" i="6"/>
  <c r="H104" i="6"/>
  <c r="I104" i="6"/>
  <c r="K104" i="6"/>
  <c r="N104" i="6"/>
  <c r="O104" i="6"/>
  <c r="L104" i="6"/>
  <c r="M104" i="6"/>
  <c r="G103" i="6"/>
  <c r="H103" i="6"/>
  <c r="I103" i="6"/>
  <c r="K103" i="6"/>
  <c r="N103" i="6"/>
  <c r="O103" i="6"/>
  <c r="L103" i="6"/>
  <c r="M103" i="6"/>
  <c r="G102" i="6"/>
  <c r="H102" i="6"/>
  <c r="I102" i="6"/>
  <c r="K102" i="6"/>
  <c r="N102" i="6"/>
  <c r="O102" i="6"/>
  <c r="L102" i="6"/>
  <c r="M102" i="6"/>
  <c r="G101" i="6"/>
  <c r="H101" i="6"/>
  <c r="I101" i="6"/>
  <c r="K101" i="6"/>
  <c r="N101" i="6"/>
  <c r="O101" i="6"/>
  <c r="L101" i="6"/>
  <c r="M101" i="6"/>
  <c r="G100" i="6"/>
  <c r="H100" i="6"/>
  <c r="I100" i="6"/>
  <c r="K100" i="6"/>
  <c r="N100" i="6"/>
  <c r="O100" i="6"/>
  <c r="L100" i="6"/>
  <c r="M100" i="6"/>
  <c r="G99" i="6"/>
  <c r="H99" i="6"/>
  <c r="I99" i="6"/>
  <c r="K99" i="6"/>
  <c r="N99" i="6"/>
  <c r="O99" i="6"/>
  <c r="L99" i="6"/>
  <c r="M99" i="6"/>
  <c r="G98" i="6"/>
  <c r="H98" i="6"/>
  <c r="I98" i="6"/>
  <c r="K98" i="6"/>
  <c r="N98" i="6"/>
  <c r="O98" i="6"/>
  <c r="L98" i="6"/>
  <c r="M98" i="6"/>
  <c r="G97" i="6"/>
  <c r="H97" i="6"/>
  <c r="I97" i="6"/>
  <c r="K97" i="6"/>
  <c r="N97" i="6"/>
  <c r="O97" i="6"/>
  <c r="L97" i="6"/>
  <c r="M97" i="6"/>
  <c r="G96" i="6"/>
  <c r="H96" i="6"/>
  <c r="I96" i="6"/>
  <c r="K96" i="6"/>
  <c r="N96" i="6"/>
  <c r="O96" i="6"/>
  <c r="L96" i="6"/>
  <c r="M96" i="6"/>
  <c r="G95" i="6"/>
  <c r="H95" i="6"/>
  <c r="I95" i="6"/>
  <c r="K95" i="6"/>
  <c r="N95" i="6"/>
  <c r="O95" i="6"/>
  <c r="L95" i="6"/>
  <c r="M95" i="6"/>
  <c r="G94" i="6"/>
  <c r="H94" i="6"/>
  <c r="I94" i="6"/>
  <c r="K94" i="6"/>
  <c r="N94" i="6"/>
  <c r="O94" i="6"/>
  <c r="L94" i="6"/>
  <c r="M94" i="6"/>
  <c r="G93" i="6"/>
  <c r="H93" i="6"/>
  <c r="I93" i="6"/>
  <c r="K93" i="6"/>
  <c r="N93" i="6"/>
  <c r="O93" i="6"/>
  <c r="L93" i="6"/>
  <c r="M93" i="6"/>
  <c r="G92" i="6"/>
  <c r="H92" i="6"/>
  <c r="I92" i="6"/>
  <c r="K92" i="6"/>
  <c r="N92" i="6"/>
  <c r="O92" i="6"/>
  <c r="L92" i="6"/>
  <c r="M92" i="6"/>
  <c r="G91" i="6"/>
  <c r="H91" i="6"/>
  <c r="I91" i="6"/>
  <c r="K91" i="6"/>
  <c r="N91" i="6"/>
  <c r="O91" i="6"/>
  <c r="L91" i="6"/>
  <c r="M91" i="6"/>
  <c r="G90" i="6"/>
  <c r="H90" i="6"/>
  <c r="I90" i="6"/>
  <c r="K90" i="6"/>
  <c r="N90" i="6"/>
  <c r="O90" i="6"/>
  <c r="L90" i="6"/>
  <c r="M90" i="6"/>
  <c r="G89" i="6"/>
  <c r="H89" i="6"/>
  <c r="I89" i="6"/>
  <c r="K89" i="6"/>
  <c r="N89" i="6"/>
  <c r="O89" i="6"/>
  <c r="L89" i="6"/>
  <c r="M89" i="6"/>
  <c r="G88" i="6"/>
  <c r="H88" i="6"/>
  <c r="I88" i="6"/>
  <c r="K88" i="6"/>
  <c r="N88" i="6"/>
  <c r="O88" i="6"/>
  <c r="L88" i="6"/>
  <c r="M88" i="6"/>
  <c r="G87" i="6"/>
  <c r="H87" i="6"/>
  <c r="I87" i="6"/>
  <c r="K87" i="6"/>
  <c r="N87" i="6"/>
  <c r="O87" i="6"/>
  <c r="L87" i="6"/>
  <c r="M87" i="6"/>
  <c r="G86" i="6"/>
  <c r="H86" i="6"/>
  <c r="I86" i="6"/>
  <c r="K86" i="6"/>
  <c r="N86" i="6"/>
  <c r="O86" i="6"/>
  <c r="L86" i="6"/>
  <c r="M86" i="6"/>
  <c r="G85" i="6"/>
  <c r="H85" i="6"/>
  <c r="I85" i="6"/>
  <c r="K85" i="6"/>
  <c r="N85" i="6"/>
  <c r="O85" i="6"/>
  <c r="L85" i="6"/>
  <c r="M85" i="6"/>
  <c r="G84" i="6"/>
  <c r="H84" i="6"/>
  <c r="I84" i="6"/>
  <c r="K84" i="6"/>
  <c r="N84" i="6"/>
  <c r="O84" i="6"/>
  <c r="L84" i="6"/>
  <c r="M84" i="6"/>
  <c r="G83" i="6"/>
  <c r="H83" i="6"/>
  <c r="I83" i="6"/>
  <c r="K83" i="6"/>
  <c r="N83" i="6"/>
  <c r="O83" i="6"/>
  <c r="L83" i="6"/>
  <c r="M83" i="6"/>
  <c r="G82" i="6"/>
  <c r="H82" i="6"/>
  <c r="I82" i="6"/>
  <c r="K82" i="6"/>
  <c r="N82" i="6"/>
  <c r="O82" i="6"/>
  <c r="L82" i="6"/>
  <c r="M82" i="6"/>
  <c r="G81" i="6"/>
  <c r="H81" i="6"/>
  <c r="I81" i="6"/>
  <c r="K81" i="6"/>
  <c r="N81" i="6"/>
  <c r="O81" i="6"/>
  <c r="L81" i="6"/>
  <c r="M81" i="6"/>
  <c r="G80" i="6"/>
  <c r="H80" i="6"/>
  <c r="I80" i="6"/>
  <c r="K80" i="6"/>
  <c r="N80" i="6"/>
  <c r="O80" i="6"/>
  <c r="L80" i="6"/>
  <c r="M80" i="6"/>
  <c r="G79" i="6"/>
  <c r="H79" i="6"/>
  <c r="I79" i="6"/>
  <c r="K79" i="6"/>
  <c r="N79" i="6"/>
  <c r="O79" i="6"/>
  <c r="L79" i="6"/>
  <c r="M79" i="6"/>
  <c r="G78" i="6"/>
  <c r="H78" i="6"/>
  <c r="I78" i="6"/>
  <c r="K78" i="6"/>
  <c r="N78" i="6"/>
  <c r="O78" i="6"/>
  <c r="L78" i="6"/>
  <c r="M78" i="6"/>
  <c r="G77" i="6"/>
  <c r="H77" i="6"/>
  <c r="I77" i="6"/>
  <c r="K77" i="6"/>
  <c r="N77" i="6"/>
  <c r="O77" i="6"/>
  <c r="L77" i="6"/>
  <c r="M77" i="6"/>
  <c r="G76" i="6"/>
  <c r="H76" i="6"/>
  <c r="I76" i="6"/>
  <c r="K76" i="6"/>
  <c r="N76" i="6"/>
  <c r="O76" i="6"/>
  <c r="L76" i="6"/>
  <c r="M76" i="6"/>
  <c r="G75" i="6"/>
  <c r="H75" i="6"/>
  <c r="I75" i="6"/>
  <c r="K75" i="6"/>
  <c r="N75" i="6"/>
  <c r="O75" i="6"/>
  <c r="L75" i="6"/>
  <c r="M75" i="6"/>
  <c r="G74" i="6"/>
  <c r="H74" i="6"/>
  <c r="I74" i="6"/>
  <c r="K74" i="6"/>
  <c r="N74" i="6"/>
  <c r="O74" i="6"/>
  <c r="L74" i="6"/>
  <c r="M74" i="6"/>
  <c r="G73" i="6"/>
  <c r="H73" i="6"/>
  <c r="I73" i="6"/>
  <c r="K73" i="6"/>
  <c r="N73" i="6"/>
  <c r="O73" i="6"/>
  <c r="L73" i="6"/>
  <c r="M73" i="6"/>
  <c r="G72" i="6"/>
  <c r="H72" i="6"/>
  <c r="I72" i="6"/>
  <c r="K72" i="6"/>
  <c r="N72" i="6"/>
  <c r="O72" i="6"/>
  <c r="L72" i="6"/>
  <c r="M72" i="6"/>
  <c r="G71" i="6"/>
  <c r="H71" i="6"/>
  <c r="I71" i="6"/>
  <c r="K71" i="6"/>
  <c r="N71" i="6"/>
  <c r="O71" i="6"/>
  <c r="L71" i="6"/>
  <c r="M71" i="6"/>
  <c r="G70" i="6"/>
  <c r="H70" i="6"/>
  <c r="I70" i="6"/>
  <c r="K70" i="6"/>
  <c r="N70" i="6"/>
  <c r="O70" i="6"/>
  <c r="L70" i="6"/>
  <c r="M70" i="6"/>
  <c r="G69" i="6"/>
  <c r="H69" i="6"/>
  <c r="I69" i="6"/>
  <c r="K69" i="6"/>
  <c r="N69" i="6"/>
  <c r="O69" i="6"/>
  <c r="L69" i="6"/>
  <c r="M69" i="6"/>
  <c r="G68" i="6"/>
  <c r="H68" i="6"/>
  <c r="I68" i="6"/>
  <c r="K68" i="6"/>
  <c r="N68" i="6"/>
  <c r="O68" i="6"/>
  <c r="L68" i="6"/>
  <c r="M68" i="6"/>
  <c r="G67" i="6"/>
  <c r="H67" i="6"/>
  <c r="I67" i="6"/>
  <c r="K67" i="6"/>
  <c r="N67" i="6"/>
  <c r="O67" i="6"/>
  <c r="L67" i="6"/>
  <c r="M67" i="6"/>
  <c r="G66" i="6"/>
  <c r="H66" i="6"/>
  <c r="I66" i="6"/>
  <c r="K66" i="6"/>
  <c r="N66" i="6"/>
  <c r="O66" i="6"/>
  <c r="L66" i="6"/>
  <c r="M66" i="6"/>
  <c r="G65" i="6"/>
  <c r="H65" i="6"/>
  <c r="I65" i="6"/>
  <c r="K65" i="6"/>
  <c r="N65" i="6"/>
  <c r="O65" i="6"/>
  <c r="L65" i="6"/>
  <c r="M65" i="6"/>
  <c r="G64" i="6"/>
  <c r="H64" i="6"/>
  <c r="I64" i="6"/>
  <c r="K64" i="6"/>
  <c r="N64" i="6"/>
  <c r="O64" i="6"/>
  <c r="L64" i="6"/>
  <c r="M64" i="6"/>
  <c r="G63" i="6"/>
  <c r="H63" i="6"/>
  <c r="I63" i="6"/>
  <c r="K63" i="6"/>
  <c r="N63" i="6"/>
  <c r="O63" i="6"/>
  <c r="L63" i="6"/>
  <c r="M63" i="6"/>
  <c r="G62" i="6"/>
  <c r="H62" i="6"/>
  <c r="I62" i="6"/>
  <c r="K62" i="6"/>
  <c r="N62" i="6"/>
  <c r="O62" i="6"/>
  <c r="L62" i="6"/>
  <c r="M62" i="6"/>
  <c r="G61" i="6"/>
  <c r="H61" i="6"/>
  <c r="I61" i="6"/>
  <c r="K61" i="6"/>
  <c r="N61" i="6"/>
  <c r="O61" i="6"/>
  <c r="L61" i="6"/>
  <c r="M61" i="6"/>
  <c r="G60" i="6"/>
  <c r="H60" i="6"/>
  <c r="I60" i="6"/>
  <c r="K60" i="6"/>
  <c r="N60" i="6"/>
  <c r="O60" i="6"/>
  <c r="L60" i="6"/>
  <c r="M60" i="6"/>
  <c r="G59" i="6"/>
  <c r="H59" i="6"/>
  <c r="I59" i="6"/>
  <c r="K59" i="6"/>
  <c r="N59" i="6"/>
  <c r="O59" i="6"/>
  <c r="L59" i="6"/>
  <c r="M59" i="6"/>
  <c r="G58" i="6"/>
  <c r="H58" i="6"/>
  <c r="I58" i="6"/>
  <c r="K58" i="6"/>
  <c r="N58" i="6"/>
  <c r="O58" i="6"/>
  <c r="L58" i="6"/>
  <c r="M58" i="6"/>
  <c r="G57" i="6"/>
  <c r="H57" i="6"/>
  <c r="I57" i="6"/>
  <c r="K57" i="6"/>
  <c r="N57" i="6"/>
  <c r="O57" i="6"/>
  <c r="L57" i="6"/>
  <c r="M57" i="6"/>
  <c r="G56" i="6"/>
  <c r="H56" i="6"/>
  <c r="I56" i="6"/>
  <c r="K56" i="6"/>
  <c r="N56" i="6"/>
  <c r="O56" i="6"/>
  <c r="L56" i="6"/>
  <c r="M56" i="6"/>
  <c r="G55" i="6"/>
  <c r="H55" i="6"/>
  <c r="I55" i="6"/>
  <c r="K55" i="6"/>
  <c r="N55" i="6"/>
  <c r="O55" i="6"/>
  <c r="L55" i="6"/>
  <c r="M55" i="6"/>
  <c r="G54" i="6"/>
  <c r="H54" i="6"/>
  <c r="I54" i="6"/>
  <c r="K54" i="6"/>
  <c r="N54" i="6"/>
  <c r="O54" i="6"/>
  <c r="L54" i="6"/>
  <c r="M54" i="6"/>
  <c r="G53" i="6"/>
  <c r="H53" i="6"/>
  <c r="I53" i="6"/>
  <c r="K53" i="6"/>
  <c r="N53" i="6"/>
  <c r="O53" i="6"/>
  <c r="L53" i="6"/>
  <c r="M53" i="6"/>
  <c r="G52" i="6"/>
  <c r="H52" i="6"/>
  <c r="I52" i="6"/>
  <c r="K52" i="6"/>
  <c r="N52" i="6"/>
  <c r="O52" i="6"/>
  <c r="L52" i="6"/>
  <c r="M52" i="6"/>
  <c r="G51" i="6"/>
  <c r="H51" i="6"/>
  <c r="I51" i="6"/>
  <c r="K51" i="6"/>
  <c r="N51" i="6"/>
  <c r="O51" i="6"/>
  <c r="L51" i="6"/>
  <c r="M51" i="6"/>
  <c r="G50" i="6"/>
  <c r="H50" i="6"/>
  <c r="I50" i="6"/>
  <c r="K50" i="6"/>
  <c r="N50" i="6"/>
  <c r="O50" i="6"/>
  <c r="L50" i="6"/>
  <c r="M50" i="6"/>
  <c r="G49" i="6"/>
  <c r="H49" i="6"/>
  <c r="I49" i="6"/>
  <c r="K49" i="6"/>
  <c r="N49" i="6"/>
  <c r="O49" i="6"/>
  <c r="L49" i="6"/>
  <c r="M49" i="6"/>
  <c r="G48" i="6"/>
  <c r="H48" i="6"/>
  <c r="I48" i="6"/>
  <c r="K48" i="6"/>
  <c r="N48" i="6"/>
  <c r="O48" i="6"/>
  <c r="L48" i="6"/>
  <c r="M48" i="6"/>
  <c r="G47" i="6"/>
  <c r="H47" i="6"/>
  <c r="I47" i="6"/>
  <c r="K47" i="6"/>
  <c r="N47" i="6"/>
  <c r="O47" i="6"/>
  <c r="L47" i="6"/>
  <c r="M47" i="6"/>
  <c r="G46" i="6"/>
  <c r="H46" i="6"/>
  <c r="I46" i="6"/>
  <c r="K46" i="6"/>
  <c r="N46" i="6"/>
  <c r="O46" i="6"/>
  <c r="L46" i="6"/>
  <c r="M46" i="6"/>
  <c r="G45" i="6"/>
  <c r="H45" i="6"/>
  <c r="I45" i="6"/>
  <c r="K45" i="6"/>
  <c r="N45" i="6"/>
  <c r="O45" i="6"/>
  <c r="L45" i="6"/>
  <c r="M45" i="6"/>
  <c r="G44" i="6"/>
  <c r="H44" i="6"/>
  <c r="I44" i="6"/>
  <c r="K44" i="6"/>
  <c r="N44" i="6"/>
  <c r="O44" i="6"/>
  <c r="L44" i="6"/>
  <c r="M44" i="6"/>
  <c r="G43" i="6"/>
  <c r="H43" i="6"/>
  <c r="I43" i="6"/>
  <c r="K43" i="6"/>
  <c r="N43" i="6"/>
  <c r="O43" i="6"/>
  <c r="L43" i="6"/>
  <c r="M43" i="6"/>
  <c r="G42" i="6"/>
  <c r="H42" i="6"/>
  <c r="I42" i="6"/>
  <c r="K42" i="6"/>
  <c r="N42" i="6"/>
  <c r="O42" i="6"/>
  <c r="L42" i="6"/>
  <c r="M42" i="6"/>
  <c r="G41" i="6"/>
  <c r="H41" i="6"/>
  <c r="I41" i="6"/>
  <c r="K41" i="6"/>
  <c r="N41" i="6"/>
  <c r="O41" i="6"/>
  <c r="L41" i="6"/>
  <c r="M41" i="6"/>
  <c r="G40" i="6"/>
  <c r="H40" i="6"/>
  <c r="I40" i="6"/>
  <c r="K40" i="6"/>
  <c r="N40" i="6"/>
  <c r="O40" i="6"/>
  <c r="L40" i="6"/>
  <c r="M40" i="6"/>
  <c r="G39" i="6"/>
  <c r="H39" i="6"/>
  <c r="I39" i="6"/>
  <c r="K39" i="6"/>
  <c r="N39" i="6"/>
  <c r="O39" i="6"/>
  <c r="L39" i="6"/>
  <c r="M39" i="6"/>
  <c r="G38" i="6"/>
  <c r="H38" i="6"/>
  <c r="I38" i="6"/>
  <c r="K38" i="6"/>
  <c r="N38" i="6"/>
  <c r="O38" i="6"/>
  <c r="L38" i="6"/>
  <c r="M38" i="6"/>
  <c r="G37" i="6"/>
  <c r="H37" i="6"/>
  <c r="I37" i="6"/>
  <c r="K37" i="6"/>
  <c r="N37" i="6"/>
  <c r="O37" i="6"/>
  <c r="L37" i="6"/>
  <c r="M37" i="6"/>
  <c r="G36" i="6"/>
  <c r="H36" i="6"/>
  <c r="I36" i="6"/>
  <c r="K36" i="6"/>
  <c r="N36" i="6"/>
  <c r="O36" i="6"/>
  <c r="L36" i="6"/>
  <c r="M36" i="6"/>
  <c r="G35" i="6"/>
  <c r="H35" i="6"/>
  <c r="I35" i="6"/>
  <c r="K35" i="6"/>
  <c r="N35" i="6"/>
  <c r="O35" i="6"/>
  <c r="L35" i="6"/>
  <c r="M35" i="6"/>
  <c r="G34" i="6"/>
  <c r="H34" i="6"/>
  <c r="I34" i="6"/>
  <c r="K34" i="6"/>
  <c r="N34" i="6"/>
  <c r="O34" i="6"/>
  <c r="L34" i="6"/>
  <c r="M34" i="6"/>
  <c r="G33" i="6"/>
  <c r="H33" i="6"/>
  <c r="I33" i="6"/>
  <c r="K33" i="6"/>
  <c r="N33" i="6"/>
  <c r="O33" i="6"/>
  <c r="L33" i="6"/>
  <c r="M33" i="6"/>
  <c r="G32" i="6"/>
  <c r="H32" i="6"/>
  <c r="I32" i="6"/>
  <c r="K32" i="6"/>
  <c r="N32" i="6"/>
  <c r="O32" i="6"/>
  <c r="L32" i="6"/>
  <c r="M32" i="6"/>
  <c r="G31" i="6"/>
  <c r="H31" i="6"/>
  <c r="I31" i="6"/>
  <c r="K31" i="6"/>
  <c r="N31" i="6"/>
  <c r="O31" i="6"/>
  <c r="L31" i="6"/>
  <c r="M31" i="6"/>
  <c r="G30" i="6"/>
  <c r="H30" i="6"/>
  <c r="I30" i="6"/>
  <c r="K30" i="6"/>
  <c r="N30" i="6"/>
  <c r="O30" i="6"/>
  <c r="L30" i="6"/>
  <c r="M30" i="6"/>
  <c r="G29" i="6"/>
  <c r="H29" i="6"/>
  <c r="I29" i="6"/>
  <c r="K29" i="6"/>
  <c r="N29" i="6"/>
  <c r="O29" i="6"/>
  <c r="L29" i="6"/>
  <c r="M29" i="6"/>
  <c r="G28" i="6"/>
  <c r="H28" i="6"/>
  <c r="I28" i="6"/>
  <c r="K28" i="6"/>
  <c r="N28" i="6"/>
  <c r="O28" i="6"/>
  <c r="L28" i="6"/>
  <c r="M28" i="6"/>
  <c r="G27" i="6"/>
  <c r="H27" i="6"/>
  <c r="I27" i="6"/>
  <c r="K27" i="6"/>
  <c r="N27" i="6"/>
  <c r="O27" i="6"/>
  <c r="L27" i="6"/>
  <c r="M27" i="6"/>
  <c r="G26" i="6"/>
  <c r="H26" i="6"/>
  <c r="I26" i="6"/>
  <c r="K26" i="6"/>
  <c r="N26" i="6"/>
  <c r="O26" i="6"/>
  <c r="L26" i="6"/>
  <c r="M26" i="6"/>
  <c r="G25" i="6"/>
  <c r="H25" i="6"/>
  <c r="I25" i="6"/>
  <c r="K25" i="6"/>
  <c r="N25" i="6"/>
  <c r="O25" i="6"/>
  <c r="L25" i="6"/>
  <c r="M25" i="6"/>
  <c r="G24" i="6"/>
  <c r="H24" i="6"/>
  <c r="I24" i="6"/>
  <c r="K24" i="6"/>
  <c r="N24" i="6"/>
  <c r="O24" i="6"/>
  <c r="L24" i="6"/>
  <c r="M24" i="6"/>
  <c r="G23" i="6"/>
  <c r="H23" i="6"/>
  <c r="I23" i="6"/>
  <c r="K23" i="6"/>
  <c r="N23" i="6"/>
  <c r="O23" i="6"/>
  <c r="L23" i="6"/>
  <c r="M23" i="6"/>
  <c r="G22" i="6"/>
  <c r="H22" i="6"/>
  <c r="I22" i="6"/>
  <c r="K22" i="6"/>
  <c r="N22" i="6"/>
  <c r="O22" i="6"/>
  <c r="L22" i="6"/>
  <c r="M22" i="6"/>
  <c r="G21" i="6"/>
  <c r="H21" i="6"/>
  <c r="I21" i="6"/>
  <c r="K21" i="6"/>
  <c r="N21" i="6"/>
  <c r="O21" i="6"/>
  <c r="L21" i="6"/>
  <c r="M21" i="6"/>
  <c r="G20" i="6"/>
  <c r="H20" i="6"/>
  <c r="I20" i="6"/>
  <c r="K20" i="6"/>
  <c r="N20" i="6"/>
  <c r="O20" i="6"/>
  <c r="L20" i="6"/>
  <c r="M20" i="6"/>
  <c r="G19" i="6"/>
  <c r="H19" i="6"/>
  <c r="I19" i="6"/>
  <c r="K19" i="6"/>
  <c r="N19" i="6"/>
  <c r="O19" i="6"/>
  <c r="L19" i="6"/>
  <c r="M19" i="6"/>
  <c r="G18" i="6"/>
  <c r="H18" i="6"/>
  <c r="I18" i="6"/>
  <c r="K18" i="6"/>
  <c r="N18" i="6"/>
  <c r="O18" i="6"/>
  <c r="L18" i="6"/>
  <c r="M18" i="6"/>
  <c r="G17" i="6"/>
  <c r="H17" i="6"/>
  <c r="I17" i="6"/>
  <c r="K17" i="6"/>
  <c r="N17" i="6"/>
  <c r="O17" i="6"/>
  <c r="L17" i="6"/>
  <c r="M17" i="6"/>
  <c r="G16" i="6"/>
  <c r="H16" i="6"/>
  <c r="I16" i="6"/>
  <c r="K16" i="6"/>
  <c r="N16" i="6"/>
  <c r="O16" i="6"/>
  <c r="L16" i="6"/>
  <c r="M16" i="6"/>
  <c r="G15" i="6"/>
  <c r="H15" i="6"/>
  <c r="I15" i="6"/>
  <c r="K15" i="6"/>
  <c r="N15" i="6"/>
  <c r="O15" i="6"/>
  <c r="L15" i="6"/>
  <c r="M15" i="6"/>
  <c r="G14" i="6"/>
  <c r="H14" i="6"/>
  <c r="I14" i="6"/>
  <c r="K14" i="6"/>
  <c r="N14" i="6"/>
  <c r="O14" i="6"/>
  <c r="L14" i="6"/>
  <c r="M14" i="6"/>
  <c r="G13" i="6"/>
  <c r="H13" i="6"/>
  <c r="I13" i="6"/>
  <c r="K13" i="6"/>
  <c r="N13" i="6"/>
  <c r="O13" i="6"/>
  <c r="L13" i="6"/>
  <c r="M13" i="6"/>
  <c r="G12" i="6"/>
  <c r="H12" i="6"/>
  <c r="I12" i="6"/>
  <c r="K12" i="6"/>
  <c r="N12" i="6"/>
  <c r="O12" i="6"/>
  <c r="L12" i="6"/>
  <c r="M12" i="6"/>
  <c r="G11" i="6"/>
  <c r="H11" i="6"/>
  <c r="I11" i="6"/>
  <c r="K11" i="6"/>
  <c r="N11" i="6"/>
  <c r="O11" i="6"/>
  <c r="L11" i="6"/>
  <c r="M11" i="6"/>
  <c r="G10" i="6"/>
  <c r="H10" i="6"/>
  <c r="I10" i="6"/>
  <c r="K10" i="6"/>
  <c r="N10" i="6"/>
  <c r="O10" i="6"/>
  <c r="L10" i="6"/>
  <c r="M10" i="6"/>
  <c r="G9" i="6"/>
  <c r="H9" i="6"/>
  <c r="I9" i="6"/>
  <c r="K9" i="6"/>
  <c r="N9" i="6"/>
  <c r="O9" i="6"/>
  <c r="L9" i="6"/>
  <c r="M9" i="6"/>
  <c r="G8" i="6"/>
  <c r="H8" i="6"/>
  <c r="I8" i="6"/>
  <c r="K8" i="6"/>
  <c r="N8" i="6"/>
  <c r="O8" i="6"/>
  <c r="L8" i="6"/>
  <c r="M8" i="6"/>
  <c r="G7" i="6"/>
  <c r="H7" i="6"/>
  <c r="I7" i="6"/>
  <c r="K7" i="6"/>
  <c r="N7" i="6"/>
  <c r="O7" i="6"/>
  <c r="L7" i="6"/>
  <c r="M7" i="6"/>
  <c r="G6" i="6"/>
  <c r="H6" i="6"/>
  <c r="I6" i="6"/>
  <c r="K6" i="6"/>
  <c r="N6" i="6"/>
  <c r="O6" i="6"/>
  <c r="L6" i="6"/>
  <c r="M6" i="6"/>
  <c r="G5" i="6"/>
  <c r="H5" i="6"/>
  <c r="I5" i="6"/>
  <c r="K5" i="6"/>
  <c r="N5" i="6"/>
  <c r="O5" i="6"/>
  <c r="L5" i="6"/>
  <c r="M5" i="6"/>
  <c r="G3" i="6"/>
  <c r="H3" i="6"/>
  <c r="I3" i="6"/>
  <c r="N3" i="6"/>
  <c r="G4" i="6"/>
  <c r="H4" i="6"/>
  <c r="I4" i="6"/>
  <c r="K4" i="6"/>
  <c r="N4" i="6"/>
  <c r="P3" i="6"/>
  <c r="S3" i="6"/>
  <c r="S4" i="6"/>
  <c r="L3" i="6"/>
  <c r="L4" i="6"/>
  <c r="Q3" i="6"/>
  <c r="Q4" i="6"/>
  <c r="O4" i="6"/>
  <c r="M4" i="6"/>
  <c r="O3" i="6"/>
  <c r="T3" i="6"/>
  <c r="M3" i="6"/>
  <c r="R3" i="6"/>
  <c r="J134" i="3"/>
  <c r="J133" i="3"/>
  <c r="J129" i="3"/>
  <c r="J128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30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3" i="3"/>
  <c r="G182" i="3"/>
  <c r="H182" i="3"/>
  <c r="I182" i="3"/>
  <c r="G181" i="3"/>
  <c r="H181" i="3"/>
  <c r="I181" i="3"/>
  <c r="G180" i="3"/>
  <c r="H180" i="3"/>
  <c r="I180" i="3"/>
  <c r="G179" i="3"/>
  <c r="H179" i="3"/>
  <c r="I179" i="3"/>
  <c r="G178" i="3"/>
  <c r="H178" i="3"/>
  <c r="I178" i="3"/>
  <c r="G177" i="3"/>
  <c r="H177" i="3"/>
  <c r="I177" i="3"/>
  <c r="G176" i="3"/>
  <c r="H176" i="3"/>
  <c r="I176" i="3"/>
  <c r="G175" i="3"/>
  <c r="H175" i="3"/>
  <c r="I175" i="3"/>
  <c r="G174" i="3"/>
  <c r="H174" i="3"/>
  <c r="I174" i="3"/>
  <c r="G173" i="3"/>
  <c r="H173" i="3"/>
  <c r="I173" i="3"/>
  <c r="G172" i="3"/>
  <c r="H172" i="3"/>
  <c r="I172" i="3"/>
  <c r="G171" i="3"/>
  <c r="H171" i="3"/>
  <c r="I171" i="3"/>
  <c r="G170" i="3"/>
  <c r="H170" i="3"/>
  <c r="I170" i="3"/>
  <c r="G169" i="3"/>
  <c r="H169" i="3"/>
  <c r="I169" i="3"/>
  <c r="G168" i="3"/>
  <c r="H168" i="3"/>
  <c r="I168" i="3"/>
  <c r="G167" i="3"/>
  <c r="H167" i="3"/>
  <c r="I167" i="3"/>
  <c r="G166" i="3"/>
  <c r="H166" i="3"/>
  <c r="I166" i="3"/>
  <c r="G165" i="3"/>
  <c r="H165" i="3"/>
  <c r="I165" i="3"/>
  <c r="G164" i="3"/>
  <c r="H164" i="3"/>
  <c r="I164" i="3"/>
  <c r="G163" i="3"/>
  <c r="H163" i="3"/>
  <c r="I163" i="3"/>
  <c r="G162" i="3"/>
  <c r="H162" i="3"/>
  <c r="I162" i="3"/>
  <c r="G161" i="3"/>
  <c r="H161" i="3"/>
  <c r="I161" i="3"/>
  <c r="G160" i="3"/>
  <c r="H160" i="3"/>
  <c r="I160" i="3"/>
  <c r="G159" i="3"/>
  <c r="H159" i="3"/>
  <c r="I159" i="3"/>
  <c r="G158" i="3"/>
  <c r="H158" i="3"/>
  <c r="I158" i="3"/>
  <c r="G157" i="3"/>
  <c r="H157" i="3"/>
  <c r="I157" i="3"/>
  <c r="G156" i="3"/>
  <c r="H156" i="3"/>
  <c r="I156" i="3"/>
  <c r="G155" i="3"/>
  <c r="H155" i="3"/>
  <c r="I155" i="3"/>
  <c r="G154" i="3"/>
  <c r="H154" i="3"/>
  <c r="I154" i="3"/>
  <c r="G153" i="3"/>
  <c r="H153" i="3"/>
  <c r="I153" i="3"/>
  <c r="G152" i="3"/>
  <c r="H152" i="3"/>
  <c r="I152" i="3"/>
  <c r="G151" i="3"/>
  <c r="H151" i="3"/>
  <c r="I151" i="3"/>
  <c r="G150" i="3"/>
  <c r="H150" i="3"/>
  <c r="I150" i="3"/>
  <c r="G149" i="3"/>
  <c r="H149" i="3"/>
  <c r="I149" i="3"/>
  <c r="G148" i="3"/>
  <c r="H148" i="3"/>
  <c r="I148" i="3"/>
  <c r="G147" i="3"/>
  <c r="H147" i="3"/>
  <c r="I147" i="3"/>
  <c r="G146" i="3"/>
  <c r="H146" i="3"/>
  <c r="I146" i="3"/>
  <c r="G145" i="3"/>
  <c r="H145" i="3"/>
  <c r="I145" i="3"/>
  <c r="G144" i="3"/>
  <c r="H144" i="3"/>
  <c r="I144" i="3"/>
  <c r="G143" i="3"/>
  <c r="H143" i="3"/>
  <c r="I143" i="3"/>
  <c r="G142" i="3"/>
  <c r="H142" i="3"/>
  <c r="I142" i="3"/>
  <c r="G141" i="3"/>
  <c r="H141" i="3"/>
  <c r="I141" i="3"/>
  <c r="G140" i="3"/>
  <c r="H140" i="3"/>
  <c r="I140" i="3"/>
  <c r="G139" i="3"/>
  <c r="H139" i="3"/>
  <c r="I139" i="3"/>
  <c r="G138" i="3"/>
  <c r="H138" i="3"/>
  <c r="I138" i="3"/>
  <c r="G137" i="3"/>
  <c r="H137" i="3"/>
  <c r="I137" i="3"/>
  <c r="G136" i="3"/>
  <c r="H136" i="3"/>
  <c r="I136" i="3"/>
  <c r="G135" i="3"/>
  <c r="H135" i="3"/>
  <c r="I135" i="3"/>
  <c r="G134" i="3"/>
  <c r="H134" i="3"/>
  <c r="I134" i="3"/>
  <c r="G133" i="3"/>
  <c r="H133" i="3"/>
  <c r="I133" i="3"/>
  <c r="G132" i="3"/>
  <c r="H132" i="3"/>
  <c r="I132" i="3"/>
  <c r="G131" i="3"/>
  <c r="H131" i="3"/>
  <c r="I131" i="3"/>
  <c r="G130" i="3"/>
  <c r="H130" i="3"/>
  <c r="I130" i="3"/>
  <c r="G129" i="3"/>
  <c r="H129" i="3"/>
  <c r="I129" i="3"/>
  <c r="G128" i="3"/>
  <c r="H128" i="3"/>
  <c r="I128" i="3"/>
  <c r="G127" i="3"/>
  <c r="H127" i="3"/>
  <c r="I127" i="3"/>
  <c r="G126" i="3"/>
  <c r="H126" i="3"/>
  <c r="I126" i="3"/>
  <c r="G125" i="3"/>
  <c r="H125" i="3"/>
  <c r="I125" i="3"/>
  <c r="G124" i="3"/>
  <c r="H124" i="3"/>
  <c r="I124" i="3"/>
  <c r="G123" i="3"/>
  <c r="H123" i="3"/>
  <c r="I123" i="3"/>
  <c r="G122" i="3"/>
  <c r="H122" i="3"/>
  <c r="I122" i="3"/>
  <c r="G121" i="3"/>
  <c r="H121" i="3"/>
  <c r="I121" i="3"/>
  <c r="G120" i="3"/>
  <c r="H120" i="3"/>
  <c r="I120" i="3"/>
  <c r="G119" i="3"/>
  <c r="H119" i="3"/>
  <c r="I119" i="3"/>
  <c r="G118" i="3"/>
  <c r="H118" i="3"/>
  <c r="I118" i="3"/>
  <c r="G117" i="3"/>
  <c r="H117" i="3"/>
  <c r="I117" i="3"/>
  <c r="G116" i="3"/>
  <c r="H116" i="3"/>
  <c r="I116" i="3"/>
  <c r="G115" i="3"/>
  <c r="H115" i="3"/>
  <c r="I115" i="3"/>
  <c r="G114" i="3"/>
  <c r="H114" i="3"/>
  <c r="I114" i="3"/>
  <c r="G113" i="3"/>
  <c r="H113" i="3"/>
  <c r="I113" i="3"/>
  <c r="G112" i="3"/>
  <c r="H112" i="3"/>
  <c r="I112" i="3"/>
  <c r="G111" i="3"/>
  <c r="H111" i="3"/>
  <c r="I111" i="3"/>
  <c r="G110" i="3"/>
  <c r="H110" i="3"/>
  <c r="I110" i="3"/>
  <c r="G109" i="3"/>
  <c r="H109" i="3"/>
  <c r="I109" i="3"/>
  <c r="G108" i="3"/>
  <c r="H108" i="3"/>
  <c r="I108" i="3"/>
  <c r="G107" i="3"/>
  <c r="H107" i="3"/>
  <c r="I107" i="3"/>
  <c r="G106" i="3"/>
  <c r="H106" i="3"/>
  <c r="I106" i="3"/>
  <c r="G105" i="3"/>
  <c r="H105" i="3"/>
  <c r="I105" i="3"/>
  <c r="G104" i="3"/>
  <c r="H104" i="3"/>
  <c r="I104" i="3"/>
  <c r="G103" i="3"/>
  <c r="H103" i="3"/>
  <c r="I103" i="3"/>
  <c r="G102" i="3"/>
  <c r="H102" i="3"/>
  <c r="I102" i="3"/>
  <c r="G101" i="3"/>
  <c r="H101" i="3"/>
  <c r="I101" i="3"/>
  <c r="G100" i="3"/>
  <c r="H100" i="3"/>
  <c r="I100" i="3"/>
  <c r="G99" i="3"/>
  <c r="H99" i="3"/>
  <c r="I99" i="3"/>
  <c r="G98" i="3"/>
  <c r="H98" i="3"/>
  <c r="I98" i="3"/>
  <c r="G97" i="3"/>
  <c r="H97" i="3"/>
  <c r="I97" i="3"/>
  <c r="G96" i="3"/>
  <c r="H96" i="3"/>
  <c r="I96" i="3"/>
  <c r="G95" i="3"/>
  <c r="H95" i="3"/>
  <c r="I95" i="3"/>
  <c r="G94" i="3"/>
  <c r="H94" i="3"/>
  <c r="I94" i="3"/>
  <c r="G93" i="3"/>
  <c r="H93" i="3"/>
  <c r="I93" i="3"/>
  <c r="G92" i="3"/>
  <c r="H92" i="3"/>
  <c r="I92" i="3"/>
  <c r="G91" i="3"/>
  <c r="H91" i="3"/>
  <c r="I91" i="3"/>
  <c r="G90" i="3"/>
  <c r="H90" i="3"/>
  <c r="I90" i="3"/>
  <c r="G89" i="3"/>
  <c r="H89" i="3"/>
  <c r="I89" i="3"/>
  <c r="G88" i="3"/>
  <c r="H88" i="3"/>
  <c r="I88" i="3"/>
  <c r="G87" i="3"/>
  <c r="H87" i="3"/>
  <c r="I87" i="3"/>
  <c r="G86" i="3"/>
  <c r="H86" i="3"/>
  <c r="I86" i="3"/>
  <c r="G85" i="3"/>
  <c r="H85" i="3"/>
  <c r="I85" i="3"/>
  <c r="G84" i="3"/>
  <c r="H84" i="3"/>
  <c r="I84" i="3"/>
  <c r="G83" i="3"/>
  <c r="H83" i="3"/>
  <c r="I83" i="3"/>
  <c r="G82" i="3"/>
  <c r="H82" i="3"/>
  <c r="I82" i="3"/>
  <c r="G81" i="3"/>
  <c r="H81" i="3"/>
  <c r="I81" i="3"/>
  <c r="G80" i="3"/>
  <c r="H80" i="3"/>
  <c r="I80" i="3"/>
  <c r="G79" i="3"/>
  <c r="H79" i="3"/>
  <c r="I79" i="3"/>
  <c r="G78" i="3"/>
  <c r="H78" i="3"/>
  <c r="I78" i="3"/>
  <c r="G77" i="3"/>
  <c r="H77" i="3"/>
  <c r="I77" i="3"/>
  <c r="G76" i="3"/>
  <c r="H76" i="3"/>
  <c r="I76" i="3"/>
  <c r="G75" i="3"/>
  <c r="H75" i="3"/>
  <c r="I75" i="3"/>
  <c r="G74" i="3"/>
  <c r="H74" i="3"/>
  <c r="I74" i="3"/>
  <c r="G73" i="3"/>
  <c r="H73" i="3"/>
  <c r="I73" i="3"/>
  <c r="G72" i="3"/>
  <c r="H72" i="3"/>
  <c r="I72" i="3"/>
  <c r="G71" i="3"/>
  <c r="H71" i="3"/>
  <c r="I71" i="3"/>
  <c r="G70" i="3"/>
  <c r="H70" i="3"/>
  <c r="I70" i="3"/>
  <c r="G69" i="3"/>
  <c r="H69" i="3"/>
  <c r="I69" i="3"/>
  <c r="G68" i="3"/>
  <c r="H68" i="3"/>
  <c r="I68" i="3"/>
  <c r="G67" i="3"/>
  <c r="H67" i="3"/>
  <c r="I67" i="3"/>
  <c r="G66" i="3"/>
  <c r="H66" i="3"/>
  <c r="I66" i="3"/>
  <c r="G65" i="3"/>
  <c r="H65" i="3"/>
  <c r="I65" i="3"/>
  <c r="G64" i="3"/>
  <c r="H64" i="3"/>
  <c r="I64" i="3"/>
  <c r="G63" i="3"/>
  <c r="H63" i="3"/>
  <c r="I63" i="3"/>
  <c r="G62" i="3"/>
  <c r="H62" i="3"/>
  <c r="I62" i="3"/>
  <c r="G61" i="3"/>
  <c r="H61" i="3"/>
  <c r="I61" i="3"/>
  <c r="G60" i="3"/>
  <c r="H60" i="3"/>
  <c r="I60" i="3"/>
  <c r="G59" i="3"/>
  <c r="H59" i="3"/>
  <c r="I59" i="3"/>
  <c r="G58" i="3"/>
  <c r="H58" i="3"/>
  <c r="I58" i="3"/>
  <c r="G57" i="3"/>
  <c r="H57" i="3"/>
  <c r="I57" i="3"/>
  <c r="G56" i="3"/>
  <c r="H56" i="3"/>
  <c r="I56" i="3"/>
  <c r="G55" i="3"/>
  <c r="H55" i="3"/>
  <c r="I55" i="3"/>
  <c r="G54" i="3"/>
  <c r="H54" i="3"/>
  <c r="I54" i="3"/>
  <c r="G53" i="3"/>
  <c r="H53" i="3"/>
  <c r="I53" i="3"/>
  <c r="G52" i="3"/>
  <c r="H52" i="3"/>
  <c r="I52" i="3"/>
  <c r="G51" i="3"/>
  <c r="H51" i="3"/>
  <c r="I51" i="3"/>
  <c r="G50" i="3"/>
  <c r="H50" i="3"/>
  <c r="I50" i="3"/>
  <c r="G49" i="3"/>
  <c r="H49" i="3"/>
  <c r="I49" i="3"/>
  <c r="G48" i="3"/>
  <c r="H48" i="3"/>
  <c r="I48" i="3"/>
  <c r="G47" i="3"/>
  <c r="H47" i="3"/>
  <c r="I47" i="3"/>
  <c r="G46" i="3"/>
  <c r="H46" i="3"/>
  <c r="I46" i="3"/>
  <c r="G45" i="3"/>
  <c r="H45" i="3"/>
  <c r="I45" i="3"/>
  <c r="G44" i="3"/>
  <c r="H44" i="3"/>
  <c r="I44" i="3"/>
  <c r="G43" i="3"/>
  <c r="H43" i="3"/>
  <c r="I43" i="3"/>
  <c r="G42" i="3"/>
  <c r="H42" i="3"/>
  <c r="I42" i="3"/>
  <c r="G41" i="3"/>
  <c r="H41" i="3"/>
  <c r="I41" i="3"/>
  <c r="G40" i="3"/>
  <c r="H40" i="3"/>
  <c r="I40" i="3"/>
  <c r="G39" i="3"/>
  <c r="H39" i="3"/>
  <c r="I39" i="3"/>
  <c r="G38" i="3"/>
  <c r="H38" i="3"/>
  <c r="I38" i="3"/>
  <c r="G37" i="3"/>
  <c r="H37" i="3"/>
  <c r="I37" i="3"/>
  <c r="G36" i="3"/>
  <c r="H36" i="3"/>
  <c r="I36" i="3"/>
  <c r="G35" i="3"/>
  <c r="H35" i="3"/>
  <c r="I35" i="3"/>
  <c r="G34" i="3"/>
  <c r="H34" i="3"/>
  <c r="I34" i="3"/>
  <c r="G33" i="3"/>
  <c r="H33" i="3"/>
  <c r="I33" i="3"/>
  <c r="G32" i="3"/>
  <c r="H32" i="3"/>
  <c r="I32" i="3"/>
  <c r="G31" i="3"/>
  <c r="H31" i="3"/>
  <c r="I31" i="3"/>
  <c r="G30" i="3"/>
  <c r="H30" i="3"/>
  <c r="I30" i="3"/>
  <c r="G29" i="3"/>
  <c r="H29" i="3"/>
  <c r="I29" i="3"/>
  <c r="G28" i="3"/>
  <c r="H28" i="3"/>
  <c r="I28" i="3"/>
  <c r="G27" i="3"/>
  <c r="H27" i="3"/>
  <c r="I27" i="3"/>
  <c r="G26" i="3"/>
  <c r="H26" i="3"/>
  <c r="I26" i="3"/>
  <c r="G25" i="3"/>
  <c r="H25" i="3"/>
  <c r="I25" i="3"/>
  <c r="G24" i="3"/>
  <c r="H24" i="3"/>
  <c r="I24" i="3"/>
  <c r="G23" i="3"/>
  <c r="H23" i="3"/>
  <c r="I23" i="3"/>
  <c r="G22" i="3"/>
  <c r="H22" i="3"/>
  <c r="I22" i="3"/>
  <c r="G21" i="3"/>
  <c r="H21" i="3"/>
  <c r="I21" i="3"/>
  <c r="G20" i="3"/>
  <c r="H20" i="3"/>
  <c r="I20" i="3"/>
  <c r="G19" i="3"/>
  <c r="H19" i="3"/>
  <c r="I19" i="3"/>
  <c r="G18" i="3"/>
  <c r="H18" i="3"/>
  <c r="I18" i="3"/>
  <c r="G17" i="3"/>
  <c r="H17" i="3"/>
  <c r="I17" i="3"/>
  <c r="G16" i="3"/>
  <c r="H16" i="3"/>
  <c r="I16" i="3"/>
  <c r="G15" i="3"/>
  <c r="H15" i="3"/>
  <c r="I15" i="3"/>
  <c r="G14" i="3"/>
  <c r="H14" i="3"/>
  <c r="I14" i="3"/>
  <c r="G13" i="3"/>
  <c r="H13" i="3"/>
  <c r="I13" i="3"/>
  <c r="G12" i="3"/>
  <c r="H12" i="3"/>
  <c r="I12" i="3"/>
  <c r="G11" i="3"/>
  <c r="H11" i="3"/>
  <c r="I11" i="3"/>
  <c r="G10" i="3"/>
  <c r="H10" i="3"/>
  <c r="I10" i="3"/>
  <c r="G9" i="3"/>
  <c r="H9" i="3"/>
  <c r="I9" i="3"/>
  <c r="G8" i="3"/>
  <c r="H8" i="3"/>
  <c r="I8" i="3"/>
  <c r="G7" i="3"/>
  <c r="H7" i="3"/>
  <c r="I7" i="3"/>
  <c r="G6" i="3"/>
  <c r="H6" i="3"/>
  <c r="I6" i="3"/>
  <c r="G5" i="3"/>
  <c r="H5" i="3"/>
  <c r="I5" i="3"/>
  <c r="G4" i="3"/>
  <c r="H4" i="3"/>
  <c r="I4" i="3"/>
  <c r="G3" i="3"/>
  <c r="H3" i="3"/>
  <c r="I3" i="3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3" i="1"/>
  <c r="K3" i="1"/>
  <c r="N3" i="1"/>
  <c r="O3" i="1"/>
  <c r="K4" i="1"/>
  <c r="N4" i="1"/>
  <c r="O4" i="1"/>
  <c r="K5" i="1"/>
  <c r="N5" i="1"/>
  <c r="O5" i="1"/>
  <c r="K6" i="1"/>
  <c r="N6" i="1"/>
  <c r="O6" i="1"/>
  <c r="K7" i="1"/>
  <c r="N7" i="1"/>
  <c r="O7" i="1"/>
  <c r="K8" i="1"/>
  <c r="N8" i="1"/>
  <c r="O8" i="1"/>
  <c r="K9" i="1"/>
  <c r="N9" i="1"/>
  <c r="O9" i="1"/>
  <c r="K10" i="1"/>
  <c r="N10" i="1"/>
  <c r="O10" i="1"/>
  <c r="K11" i="1"/>
  <c r="N11" i="1"/>
  <c r="O11" i="1"/>
  <c r="K12" i="1"/>
  <c r="N12" i="1"/>
  <c r="O12" i="1"/>
  <c r="K13" i="1"/>
  <c r="N13" i="1"/>
  <c r="O13" i="1"/>
  <c r="K14" i="1"/>
  <c r="N14" i="1"/>
  <c r="O14" i="1"/>
  <c r="K15" i="1"/>
  <c r="N15" i="1"/>
  <c r="O15" i="1"/>
  <c r="K16" i="1"/>
  <c r="N16" i="1"/>
  <c r="O16" i="1"/>
  <c r="K17" i="1"/>
  <c r="N17" i="1"/>
  <c r="O17" i="1"/>
  <c r="K18" i="1"/>
  <c r="N18" i="1"/>
  <c r="O18" i="1"/>
  <c r="K19" i="1"/>
  <c r="N19" i="1"/>
  <c r="O19" i="1"/>
  <c r="K20" i="1"/>
  <c r="N20" i="1"/>
  <c r="O20" i="1"/>
  <c r="K21" i="1"/>
  <c r="N21" i="1"/>
  <c r="O21" i="1"/>
  <c r="K22" i="1"/>
  <c r="N22" i="1"/>
  <c r="O22" i="1"/>
  <c r="K23" i="1"/>
  <c r="N23" i="1"/>
  <c r="O23" i="1"/>
  <c r="K24" i="1"/>
  <c r="N24" i="1"/>
  <c r="O24" i="1"/>
  <c r="K25" i="1"/>
  <c r="N25" i="1"/>
  <c r="O25" i="1"/>
  <c r="K26" i="1"/>
  <c r="N26" i="1"/>
  <c r="O26" i="1"/>
  <c r="K27" i="1"/>
  <c r="N27" i="1"/>
  <c r="O27" i="1"/>
  <c r="K28" i="1"/>
  <c r="N28" i="1"/>
  <c r="O28" i="1"/>
  <c r="K29" i="1"/>
  <c r="N29" i="1"/>
  <c r="O29" i="1"/>
  <c r="K30" i="1"/>
  <c r="N30" i="1"/>
  <c r="O30" i="1"/>
  <c r="K31" i="1"/>
  <c r="N31" i="1"/>
  <c r="O31" i="1"/>
  <c r="K32" i="1"/>
  <c r="N32" i="1"/>
  <c r="O32" i="1"/>
  <c r="K33" i="1"/>
  <c r="N33" i="1"/>
  <c r="O33" i="1"/>
  <c r="K34" i="1"/>
  <c r="N34" i="1"/>
  <c r="O34" i="1"/>
  <c r="K35" i="1"/>
  <c r="N35" i="1"/>
  <c r="O35" i="1"/>
  <c r="K36" i="1"/>
  <c r="N36" i="1"/>
  <c r="O36" i="1"/>
  <c r="K37" i="1"/>
  <c r="N37" i="1"/>
  <c r="O37" i="1"/>
  <c r="K38" i="1"/>
  <c r="N38" i="1"/>
  <c r="O38" i="1"/>
  <c r="K39" i="1"/>
  <c r="N39" i="1"/>
  <c r="O39" i="1"/>
  <c r="K40" i="1"/>
  <c r="N40" i="1"/>
  <c r="O40" i="1"/>
  <c r="K41" i="1"/>
  <c r="N41" i="1"/>
  <c r="O41" i="1"/>
  <c r="K42" i="1"/>
  <c r="N42" i="1"/>
  <c r="O42" i="1"/>
  <c r="K43" i="1"/>
  <c r="N43" i="1"/>
  <c r="O43" i="1"/>
  <c r="K44" i="1"/>
  <c r="N44" i="1"/>
  <c r="O44" i="1"/>
  <c r="K45" i="1"/>
  <c r="N45" i="1"/>
  <c r="O45" i="1"/>
  <c r="K46" i="1"/>
  <c r="N46" i="1"/>
  <c r="O46" i="1"/>
  <c r="K47" i="1"/>
  <c r="N47" i="1"/>
  <c r="O47" i="1"/>
  <c r="K48" i="1"/>
  <c r="N48" i="1"/>
  <c r="O48" i="1"/>
  <c r="K49" i="1"/>
  <c r="N49" i="1"/>
  <c r="O49" i="1"/>
  <c r="K50" i="1"/>
  <c r="N50" i="1"/>
  <c r="O50" i="1"/>
  <c r="K51" i="1"/>
  <c r="N51" i="1"/>
  <c r="O51" i="1"/>
  <c r="K52" i="1"/>
  <c r="N52" i="1"/>
  <c r="O52" i="1"/>
  <c r="K53" i="1"/>
  <c r="N53" i="1"/>
  <c r="O53" i="1"/>
  <c r="K54" i="1"/>
  <c r="N54" i="1"/>
  <c r="O54" i="1"/>
  <c r="K55" i="1"/>
  <c r="N55" i="1"/>
  <c r="O55" i="1"/>
  <c r="K56" i="1"/>
  <c r="N56" i="1"/>
  <c r="O56" i="1"/>
  <c r="K57" i="1"/>
  <c r="N57" i="1"/>
  <c r="O57" i="1"/>
  <c r="K58" i="1"/>
  <c r="N58" i="1"/>
  <c r="O58" i="1"/>
  <c r="K59" i="1"/>
  <c r="N59" i="1"/>
  <c r="O59" i="1"/>
  <c r="K60" i="1"/>
  <c r="N60" i="1"/>
  <c r="O60" i="1"/>
  <c r="K61" i="1"/>
  <c r="N61" i="1"/>
  <c r="O61" i="1"/>
  <c r="K62" i="1"/>
  <c r="N62" i="1"/>
  <c r="O62" i="1"/>
  <c r="K63" i="1"/>
  <c r="N63" i="1"/>
  <c r="O63" i="1"/>
  <c r="K64" i="1"/>
  <c r="N64" i="1"/>
  <c r="O64" i="1"/>
  <c r="K65" i="1"/>
  <c r="N65" i="1"/>
  <c r="O65" i="1"/>
  <c r="K66" i="1"/>
  <c r="N66" i="1"/>
  <c r="O66" i="1"/>
  <c r="K67" i="1"/>
  <c r="N67" i="1"/>
  <c r="O67" i="1"/>
  <c r="K68" i="1"/>
  <c r="N68" i="1"/>
  <c r="O68" i="1"/>
  <c r="K69" i="1"/>
  <c r="N69" i="1"/>
  <c r="O69" i="1"/>
  <c r="K70" i="1"/>
  <c r="N70" i="1"/>
  <c r="O70" i="1"/>
  <c r="K71" i="1"/>
  <c r="N71" i="1"/>
  <c r="O71" i="1"/>
  <c r="K72" i="1"/>
  <c r="N72" i="1"/>
  <c r="O72" i="1"/>
  <c r="K73" i="1"/>
  <c r="N73" i="1"/>
  <c r="O73" i="1"/>
  <c r="K74" i="1"/>
  <c r="N74" i="1"/>
  <c r="O74" i="1"/>
  <c r="K75" i="1"/>
  <c r="N75" i="1"/>
  <c r="O75" i="1"/>
  <c r="K76" i="1"/>
  <c r="N76" i="1"/>
  <c r="O76" i="1"/>
  <c r="K77" i="1"/>
  <c r="N77" i="1"/>
  <c r="O77" i="1"/>
  <c r="K78" i="1"/>
  <c r="N78" i="1"/>
  <c r="O78" i="1"/>
  <c r="K79" i="1"/>
  <c r="N79" i="1"/>
  <c r="O79" i="1"/>
  <c r="K80" i="1"/>
  <c r="N80" i="1"/>
  <c r="O80" i="1"/>
  <c r="K81" i="1"/>
  <c r="N81" i="1"/>
  <c r="O81" i="1"/>
  <c r="K82" i="1"/>
  <c r="N82" i="1"/>
  <c r="O82" i="1"/>
  <c r="K83" i="1"/>
  <c r="N83" i="1"/>
  <c r="O83" i="1"/>
  <c r="K84" i="1"/>
  <c r="N84" i="1"/>
  <c r="O84" i="1"/>
  <c r="K85" i="1"/>
  <c r="N85" i="1"/>
  <c r="O85" i="1"/>
  <c r="K86" i="1"/>
  <c r="N86" i="1"/>
  <c r="O86" i="1"/>
  <c r="K87" i="1"/>
  <c r="N87" i="1"/>
  <c r="O87" i="1"/>
  <c r="K88" i="1"/>
  <c r="N88" i="1"/>
  <c r="O88" i="1"/>
  <c r="K89" i="1"/>
  <c r="N89" i="1"/>
  <c r="O89" i="1"/>
  <c r="K90" i="1"/>
  <c r="N90" i="1"/>
  <c r="O90" i="1"/>
  <c r="K91" i="1"/>
  <c r="N91" i="1"/>
  <c r="O91" i="1"/>
  <c r="K92" i="1"/>
  <c r="N92" i="1"/>
  <c r="O92" i="1"/>
  <c r="K93" i="1"/>
  <c r="N93" i="1"/>
  <c r="O93" i="1"/>
  <c r="K94" i="1"/>
  <c r="N94" i="1"/>
  <c r="O94" i="1"/>
  <c r="K95" i="1"/>
  <c r="N95" i="1"/>
  <c r="O95" i="1"/>
  <c r="K96" i="1"/>
  <c r="N96" i="1"/>
  <c r="O96" i="1"/>
  <c r="K97" i="1"/>
  <c r="N97" i="1"/>
  <c r="O97" i="1"/>
  <c r="K98" i="1"/>
  <c r="N98" i="1"/>
  <c r="O98" i="1"/>
  <c r="K99" i="1"/>
  <c r="N99" i="1"/>
  <c r="O99" i="1"/>
  <c r="K100" i="1"/>
  <c r="N100" i="1"/>
  <c r="O100" i="1"/>
  <c r="K101" i="1"/>
  <c r="N101" i="1"/>
  <c r="O101" i="1"/>
  <c r="K102" i="1"/>
  <c r="N102" i="1"/>
  <c r="O102" i="1"/>
  <c r="K103" i="1"/>
  <c r="N103" i="1"/>
  <c r="O103" i="1"/>
  <c r="K104" i="1"/>
  <c r="N104" i="1"/>
  <c r="O104" i="1"/>
  <c r="K105" i="1"/>
  <c r="N105" i="1"/>
  <c r="O105" i="1"/>
  <c r="K106" i="1"/>
  <c r="N106" i="1"/>
  <c r="O106" i="1"/>
  <c r="K107" i="1"/>
  <c r="N107" i="1"/>
  <c r="O107" i="1"/>
  <c r="K108" i="1"/>
  <c r="N108" i="1"/>
  <c r="O108" i="1"/>
  <c r="K109" i="1"/>
  <c r="N109" i="1"/>
  <c r="O109" i="1"/>
  <c r="K110" i="1"/>
  <c r="N110" i="1"/>
  <c r="O110" i="1"/>
  <c r="K111" i="1"/>
  <c r="N111" i="1"/>
  <c r="O111" i="1"/>
  <c r="K112" i="1"/>
  <c r="N112" i="1"/>
  <c r="O112" i="1"/>
  <c r="K113" i="1"/>
  <c r="N113" i="1"/>
  <c r="O113" i="1"/>
  <c r="K114" i="1"/>
  <c r="N114" i="1"/>
  <c r="O114" i="1"/>
  <c r="K115" i="1"/>
  <c r="N115" i="1"/>
  <c r="O115" i="1"/>
  <c r="K116" i="1"/>
  <c r="N116" i="1"/>
  <c r="O116" i="1"/>
  <c r="K117" i="1"/>
  <c r="N117" i="1"/>
  <c r="O117" i="1"/>
  <c r="K118" i="1"/>
  <c r="N118" i="1"/>
  <c r="O118" i="1"/>
  <c r="K119" i="1"/>
  <c r="N119" i="1"/>
  <c r="O119" i="1"/>
  <c r="K120" i="1"/>
  <c r="N120" i="1"/>
  <c r="O120" i="1"/>
  <c r="K121" i="1"/>
  <c r="N121" i="1"/>
  <c r="O121" i="1"/>
  <c r="K122" i="1"/>
  <c r="N122" i="1"/>
  <c r="O122" i="1"/>
  <c r="K123" i="1"/>
  <c r="N123" i="1"/>
  <c r="O123" i="1"/>
  <c r="K124" i="1"/>
  <c r="N124" i="1"/>
  <c r="O124" i="1"/>
  <c r="K125" i="1"/>
  <c r="N125" i="1"/>
  <c r="O125" i="1"/>
  <c r="K126" i="1"/>
  <c r="N126" i="1"/>
  <c r="O126" i="1"/>
  <c r="K127" i="1"/>
  <c r="N127" i="1"/>
  <c r="O127" i="1"/>
  <c r="K128" i="1"/>
  <c r="N128" i="1"/>
  <c r="O128" i="1"/>
  <c r="K129" i="1"/>
  <c r="N129" i="1"/>
  <c r="O129" i="1"/>
  <c r="K130" i="1"/>
  <c r="N130" i="1"/>
  <c r="O130" i="1"/>
  <c r="K131" i="1"/>
  <c r="N131" i="1"/>
  <c r="O131" i="1"/>
  <c r="K132" i="1"/>
  <c r="N132" i="1"/>
  <c r="O132" i="1"/>
  <c r="K133" i="1"/>
  <c r="N133" i="1"/>
  <c r="O133" i="1"/>
  <c r="K134" i="1"/>
  <c r="N134" i="1"/>
  <c r="O134" i="1"/>
  <c r="K135" i="1"/>
  <c r="N135" i="1"/>
  <c r="O135" i="1"/>
  <c r="K136" i="1"/>
  <c r="N136" i="1"/>
  <c r="O136" i="1"/>
  <c r="K137" i="1"/>
  <c r="N137" i="1"/>
  <c r="O137" i="1"/>
  <c r="K138" i="1"/>
  <c r="N138" i="1"/>
  <c r="O138" i="1"/>
  <c r="K139" i="1"/>
  <c r="N139" i="1"/>
  <c r="O139" i="1"/>
  <c r="K140" i="1"/>
  <c r="N140" i="1"/>
  <c r="O140" i="1"/>
  <c r="K141" i="1"/>
  <c r="N141" i="1"/>
  <c r="O141" i="1"/>
  <c r="K142" i="1"/>
  <c r="N142" i="1"/>
  <c r="O142" i="1"/>
  <c r="K143" i="1"/>
  <c r="N143" i="1"/>
  <c r="O143" i="1"/>
  <c r="K144" i="1"/>
  <c r="N144" i="1"/>
  <c r="O144" i="1"/>
  <c r="K145" i="1"/>
  <c r="N145" i="1"/>
  <c r="O145" i="1"/>
  <c r="K146" i="1"/>
  <c r="N146" i="1"/>
  <c r="O146" i="1"/>
  <c r="K147" i="1"/>
  <c r="N147" i="1"/>
  <c r="O147" i="1"/>
  <c r="K148" i="1"/>
  <c r="N148" i="1"/>
  <c r="O148" i="1"/>
  <c r="K149" i="1"/>
  <c r="N149" i="1"/>
  <c r="O149" i="1"/>
  <c r="K150" i="1"/>
  <c r="N150" i="1"/>
  <c r="O150" i="1"/>
  <c r="K151" i="1"/>
  <c r="N151" i="1"/>
  <c r="O151" i="1"/>
  <c r="K152" i="1"/>
  <c r="N152" i="1"/>
  <c r="O152" i="1"/>
  <c r="K153" i="1"/>
  <c r="N153" i="1"/>
  <c r="O153" i="1"/>
  <c r="K154" i="1"/>
  <c r="N154" i="1"/>
  <c r="O154" i="1"/>
  <c r="K155" i="1"/>
  <c r="N155" i="1"/>
  <c r="O155" i="1"/>
  <c r="K156" i="1"/>
  <c r="N156" i="1"/>
  <c r="O156" i="1"/>
  <c r="K157" i="1"/>
  <c r="N157" i="1"/>
  <c r="O157" i="1"/>
  <c r="K158" i="1"/>
  <c r="N158" i="1"/>
  <c r="O158" i="1"/>
  <c r="K159" i="1"/>
  <c r="N159" i="1"/>
  <c r="O159" i="1"/>
  <c r="K160" i="1"/>
  <c r="N160" i="1"/>
  <c r="O160" i="1"/>
  <c r="K161" i="1"/>
  <c r="N161" i="1"/>
  <c r="O161" i="1"/>
  <c r="K162" i="1"/>
  <c r="N162" i="1"/>
  <c r="O162" i="1"/>
  <c r="K163" i="1"/>
  <c r="N163" i="1"/>
  <c r="O163" i="1"/>
  <c r="K164" i="1"/>
  <c r="N164" i="1"/>
  <c r="O164" i="1"/>
  <c r="K165" i="1"/>
  <c r="N165" i="1"/>
  <c r="O165" i="1"/>
  <c r="K166" i="1"/>
  <c r="N166" i="1"/>
  <c r="O166" i="1"/>
  <c r="K167" i="1"/>
  <c r="N167" i="1"/>
  <c r="O167" i="1"/>
  <c r="K168" i="1"/>
  <c r="N168" i="1"/>
  <c r="O168" i="1"/>
  <c r="K169" i="1"/>
  <c r="N169" i="1"/>
  <c r="O169" i="1"/>
  <c r="K170" i="1"/>
  <c r="N170" i="1"/>
  <c r="O170" i="1"/>
  <c r="K171" i="1"/>
  <c r="N171" i="1"/>
  <c r="O171" i="1"/>
  <c r="K172" i="1"/>
  <c r="N172" i="1"/>
  <c r="O172" i="1"/>
  <c r="K173" i="1"/>
  <c r="N173" i="1"/>
  <c r="O173" i="1"/>
  <c r="K174" i="1"/>
  <c r="N174" i="1"/>
  <c r="O174" i="1"/>
  <c r="K175" i="1"/>
  <c r="N175" i="1"/>
  <c r="O175" i="1"/>
  <c r="K176" i="1"/>
  <c r="N176" i="1"/>
  <c r="O176" i="1"/>
  <c r="K177" i="1"/>
  <c r="N177" i="1"/>
  <c r="O177" i="1"/>
  <c r="K178" i="1"/>
  <c r="N178" i="1"/>
  <c r="O178" i="1"/>
  <c r="K179" i="1"/>
  <c r="N179" i="1"/>
  <c r="O179" i="1"/>
  <c r="K180" i="1"/>
  <c r="N180" i="1"/>
  <c r="O180" i="1"/>
  <c r="K181" i="1"/>
  <c r="N181" i="1"/>
  <c r="O181" i="1"/>
  <c r="K182" i="1"/>
  <c r="N182" i="1"/>
  <c r="O182" i="1"/>
  <c r="T3" i="1"/>
  <c r="P3" i="1"/>
  <c r="S3" i="1"/>
  <c r="L3" i="1"/>
  <c r="M3" i="1"/>
  <c r="L4" i="1"/>
  <c r="M4" i="1"/>
  <c r="L5" i="1"/>
  <c r="M5" i="1"/>
  <c r="L6" i="1"/>
  <c r="M6" i="1"/>
  <c r="L7" i="1"/>
  <c r="M7" i="1"/>
  <c r="L8" i="1"/>
  <c r="M8" i="1"/>
  <c r="L9" i="1"/>
  <c r="M9" i="1"/>
  <c r="L10" i="1"/>
  <c r="M10" i="1"/>
  <c r="L11" i="1"/>
  <c r="M11" i="1"/>
  <c r="L12" i="1"/>
  <c r="M12" i="1"/>
  <c r="L13" i="1"/>
  <c r="M13" i="1"/>
  <c r="L14" i="1"/>
  <c r="M14" i="1"/>
  <c r="L15" i="1"/>
  <c r="M15" i="1"/>
  <c r="L16" i="1"/>
  <c r="M16" i="1"/>
  <c r="L17" i="1"/>
  <c r="M17" i="1"/>
  <c r="L18" i="1"/>
  <c r="M18" i="1"/>
  <c r="L19" i="1"/>
  <c r="M19" i="1"/>
  <c r="L20" i="1"/>
  <c r="M20" i="1"/>
  <c r="L21" i="1"/>
  <c r="M21" i="1"/>
  <c r="L22" i="1"/>
  <c r="M22" i="1"/>
  <c r="L23" i="1"/>
  <c r="M23" i="1"/>
  <c r="L24" i="1"/>
  <c r="M24" i="1"/>
  <c r="L25" i="1"/>
  <c r="M25" i="1"/>
  <c r="L26" i="1"/>
  <c r="M26" i="1"/>
  <c r="L27" i="1"/>
  <c r="M27" i="1"/>
  <c r="L28" i="1"/>
  <c r="M28" i="1"/>
  <c r="L29" i="1"/>
  <c r="M29" i="1"/>
  <c r="L30" i="1"/>
  <c r="M30" i="1"/>
  <c r="L31" i="1"/>
  <c r="M31" i="1"/>
  <c r="L32" i="1"/>
  <c r="M32" i="1"/>
  <c r="L33" i="1"/>
  <c r="M33" i="1"/>
  <c r="L34" i="1"/>
  <c r="M34" i="1"/>
  <c r="L35" i="1"/>
  <c r="M35" i="1"/>
  <c r="L36" i="1"/>
  <c r="M36" i="1"/>
  <c r="L37" i="1"/>
  <c r="M37" i="1"/>
  <c r="L38" i="1"/>
  <c r="M38" i="1"/>
  <c r="L39" i="1"/>
  <c r="M39" i="1"/>
  <c r="L40" i="1"/>
  <c r="M40" i="1"/>
  <c r="L41" i="1"/>
  <c r="M41" i="1"/>
  <c r="L42" i="1"/>
  <c r="M42" i="1"/>
  <c r="L43" i="1"/>
  <c r="M43" i="1"/>
  <c r="L44" i="1"/>
  <c r="M44" i="1"/>
  <c r="L45" i="1"/>
  <c r="M45" i="1"/>
  <c r="L46" i="1"/>
  <c r="M46" i="1"/>
  <c r="L47" i="1"/>
  <c r="M47" i="1"/>
  <c r="L48" i="1"/>
  <c r="M48" i="1"/>
  <c r="L49" i="1"/>
  <c r="M49" i="1"/>
  <c r="L50" i="1"/>
  <c r="M50" i="1"/>
  <c r="L51" i="1"/>
  <c r="M51" i="1"/>
  <c r="L52" i="1"/>
  <c r="M52" i="1"/>
  <c r="L53" i="1"/>
  <c r="M53" i="1"/>
  <c r="L54" i="1"/>
  <c r="M54" i="1"/>
  <c r="L55" i="1"/>
  <c r="M55" i="1"/>
  <c r="L56" i="1"/>
  <c r="M56" i="1"/>
  <c r="L57" i="1"/>
  <c r="M57" i="1"/>
  <c r="L58" i="1"/>
  <c r="M58" i="1"/>
  <c r="L59" i="1"/>
  <c r="M59" i="1"/>
  <c r="L60" i="1"/>
  <c r="M60" i="1"/>
  <c r="L61" i="1"/>
  <c r="M61" i="1"/>
  <c r="L62" i="1"/>
  <c r="M62" i="1"/>
  <c r="L63" i="1"/>
  <c r="M63" i="1"/>
  <c r="L64" i="1"/>
  <c r="M64" i="1"/>
  <c r="L65" i="1"/>
  <c r="M65" i="1"/>
  <c r="L66" i="1"/>
  <c r="M66" i="1"/>
  <c r="L67" i="1"/>
  <c r="M67" i="1"/>
  <c r="L68" i="1"/>
  <c r="M68" i="1"/>
  <c r="L69" i="1"/>
  <c r="M69" i="1"/>
  <c r="L70" i="1"/>
  <c r="M70" i="1"/>
  <c r="L71" i="1"/>
  <c r="M71" i="1"/>
  <c r="L72" i="1"/>
  <c r="M72" i="1"/>
  <c r="L73" i="1"/>
  <c r="M73" i="1"/>
  <c r="L74" i="1"/>
  <c r="M74" i="1"/>
  <c r="L75" i="1"/>
  <c r="M75" i="1"/>
  <c r="L76" i="1"/>
  <c r="M76" i="1"/>
  <c r="L77" i="1"/>
  <c r="M77" i="1"/>
  <c r="L78" i="1"/>
  <c r="M78" i="1"/>
  <c r="L79" i="1"/>
  <c r="M79" i="1"/>
  <c r="L80" i="1"/>
  <c r="M80" i="1"/>
  <c r="L81" i="1"/>
  <c r="M81" i="1"/>
  <c r="L82" i="1"/>
  <c r="M82" i="1"/>
  <c r="L83" i="1"/>
  <c r="M83" i="1"/>
  <c r="L84" i="1"/>
  <c r="M84" i="1"/>
  <c r="L85" i="1"/>
  <c r="M85" i="1"/>
  <c r="L86" i="1"/>
  <c r="M86" i="1"/>
  <c r="L87" i="1"/>
  <c r="M87" i="1"/>
  <c r="L88" i="1"/>
  <c r="M88" i="1"/>
  <c r="L89" i="1"/>
  <c r="M89" i="1"/>
  <c r="L90" i="1"/>
  <c r="M90" i="1"/>
  <c r="L91" i="1"/>
  <c r="M91" i="1"/>
  <c r="L92" i="1"/>
  <c r="M92" i="1"/>
  <c r="L93" i="1"/>
  <c r="M93" i="1"/>
  <c r="L94" i="1"/>
  <c r="M94" i="1"/>
  <c r="L95" i="1"/>
  <c r="M95" i="1"/>
  <c r="L96" i="1"/>
  <c r="M96" i="1"/>
  <c r="L97" i="1"/>
  <c r="M97" i="1"/>
  <c r="L98" i="1"/>
  <c r="M98" i="1"/>
  <c r="L99" i="1"/>
  <c r="M99" i="1"/>
  <c r="L100" i="1"/>
  <c r="M100" i="1"/>
  <c r="L101" i="1"/>
  <c r="M101" i="1"/>
  <c r="L102" i="1"/>
  <c r="M102" i="1"/>
  <c r="L103" i="1"/>
  <c r="M103" i="1"/>
  <c r="L104" i="1"/>
  <c r="M104" i="1"/>
  <c r="L105" i="1"/>
  <c r="M105" i="1"/>
  <c r="L106" i="1"/>
  <c r="M106" i="1"/>
  <c r="L107" i="1"/>
  <c r="M107" i="1"/>
  <c r="L108" i="1"/>
  <c r="M108" i="1"/>
  <c r="L109" i="1"/>
  <c r="M109" i="1"/>
  <c r="L110" i="1"/>
  <c r="M110" i="1"/>
  <c r="L111" i="1"/>
  <c r="M111" i="1"/>
  <c r="L112" i="1"/>
  <c r="M112" i="1"/>
  <c r="L113" i="1"/>
  <c r="M113" i="1"/>
  <c r="L114" i="1"/>
  <c r="M114" i="1"/>
  <c r="L115" i="1"/>
  <c r="M115" i="1"/>
  <c r="L116" i="1"/>
  <c r="M116" i="1"/>
  <c r="L117" i="1"/>
  <c r="M117" i="1"/>
  <c r="L118" i="1"/>
  <c r="M118" i="1"/>
  <c r="L119" i="1"/>
  <c r="M119" i="1"/>
  <c r="L120" i="1"/>
  <c r="M120" i="1"/>
  <c r="L121" i="1"/>
  <c r="M121" i="1"/>
  <c r="L122" i="1"/>
  <c r="M122" i="1"/>
  <c r="L123" i="1"/>
  <c r="M123" i="1"/>
  <c r="L124" i="1"/>
  <c r="M124" i="1"/>
  <c r="L125" i="1"/>
  <c r="M125" i="1"/>
  <c r="L126" i="1"/>
  <c r="M126" i="1"/>
  <c r="L127" i="1"/>
  <c r="M127" i="1"/>
  <c r="L128" i="1"/>
  <c r="M128" i="1"/>
  <c r="L129" i="1"/>
  <c r="M129" i="1"/>
  <c r="L130" i="1"/>
  <c r="M130" i="1"/>
  <c r="L131" i="1"/>
  <c r="M131" i="1"/>
  <c r="L132" i="1"/>
  <c r="M132" i="1"/>
  <c r="L133" i="1"/>
  <c r="M133" i="1"/>
  <c r="L134" i="1"/>
  <c r="M134" i="1"/>
  <c r="L135" i="1"/>
  <c r="M135" i="1"/>
  <c r="L136" i="1"/>
  <c r="M136" i="1"/>
  <c r="L137" i="1"/>
  <c r="M137" i="1"/>
  <c r="L138" i="1"/>
  <c r="M138" i="1"/>
  <c r="L139" i="1"/>
  <c r="M139" i="1"/>
  <c r="L140" i="1"/>
  <c r="M140" i="1"/>
  <c r="L141" i="1"/>
  <c r="M141" i="1"/>
  <c r="L142" i="1"/>
  <c r="M142" i="1"/>
  <c r="L143" i="1"/>
  <c r="M143" i="1"/>
  <c r="L144" i="1"/>
  <c r="M144" i="1"/>
  <c r="L145" i="1"/>
  <c r="M145" i="1"/>
  <c r="L146" i="1"/>
  <c r="M146" i="1"/>
  <c r="L147" i="1"/>
  <c r="M147" i="1"/>
  <c r="L148" i="1"/>
  <c r="M148" i="1"/>
  <c r="L149" i="1"/>
  <c r="M149" i="1"/>
  <c r="L150" i="1"/>
  <c r="M150" i="1"/>
  <c r="L151" i="1"/>
  <c r="M151" i="1"/>
  <c r="L152" i="1"/>
  <c r="M152" i="1"/>
  <c r="L153" i="1"/>
  <c r="M153" i="1"/>
  <c r="L154" i="1"/>
  <c r="M154" i="1"/>
  <c r="L155" i="1"/>
  <c r="M155" i="1"/>
  <c r="L156" i="1"/>
  <c r="M156" i="1"/>
  <c r="L157" i="1"/>
  <c r="M157" i="1"/>
  <c r="L158" i="1"/>
  <c r="M158" i="1"/>
  <c r="L159" i="1"/>
  <c r="M159" i="1"/>
  <c r="L160" i="1"/>
  <c r="M160" i="1"/>
  <c r="L161" i="1"/>
  <c r="M161" i="1"/>
  <c r="L162" i="1"/>
  <c r="M162" i="1"/>
  <c r="L163" i="1"/>
  <c r="M163" i="1"/>
  <c r="L164" i="1"/>
  <c r="M164" i="1"/>
  <c r="L165" i="1"/>
  <c r="M165" i="1"/>
  <c r="L166" i="1"/>
  <c r="M166" i="1"/>
  <c r="L167" i="1"/>
  <c r="M167" i="1"/>
  <c r="L168" i="1"/>
  <c r="M168" i="1"/>
  <c r="L169" i="1"/>
  <c r="M169" i="1"/>
  <c r="L170" i="1"/>
  <c r="M170" i="1"/>
  <c r="L171" i="1"/>
  <c r="M171" i="1"/>
  <c r="L172" i="1"/>
  <c r="M172" i="1"/>
  <c r="L173" i="1"/>
  <c r="M173" i="1"/>
  <c r="L174" i="1"/>
  <c r="M174" i="1"/>
  <c r="L175" i="1"/>
  <c r="M175" i="1"/>
  <c r="L176" i="1"/>
  <c r="M176" i="1"/>
  <c r="L177" i="1"/>
  <c r="M177" i="1"/>
  <c r="L178" i="1"/>
  <c r="M178" i="1"/>
  <c r="L179" i="1"/>
  <c r="M179" i="1"/>
  <c r="L180" i="1"/>
  <c r="M180" i="1"/>
  <c r="L181" i="1"/>
  <c r="M181" i="1"/>
  <c r="L182" i="1"/>
  <c r="M182" i="1"/>
  <c r="R3" i="1"/>
  <c r="Q3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3" i="1"/>
  <c r="H3" i="1"/>
  <c r="G4" i="1"/>
  <c r="H4" i="1"/>
  <c r="I3" i="1"/>
  <c r="I4" i="1"/>
  <c r="G5" i="1"/>
  <c r="H5" i="1"/>
  <c r="I5" i="1"/>
  <c r="G6" i="1"/>
  <c r="H6" i="1"/>
  <c r="I6" i="1"/>
  <c r="G7" i="1"/>
  <c r="H7" i="1"/>
  <c r="I7" i="1"/>
  <c r="G8" i="1"/>
  <c r="H8" i="1"/>
  <c r="I8" i="1"/>
  <c r="G9" i="1"/>
  <c r="H9" i="1"/>
  <c r="I9" i="1"/>
  <c r="G10" i="1"/>
  <c r="H10" i="1"/>
  <c r="I10" i="1"/>
  <c r="G11" i="1"/>
  <c r="H11" i="1"/>
  <c r="I11" i="1"/>
  <c r="G12" i="1"/>
  <c r="H12" i="1"/>
  <c r="I12" i="1"/>
  <c r="G13" i="1"/>
  <c r="H13" i="1"/>
  <c r="I13" i="1"/>
  <c r="G14" i="1"/>
  <c r="H14" i="1"/>
  <c r="I14" i="1"/>
  <c r="G15" i="1"/>
  <c r="H15" i="1"/>
  <c r="I15" i="1"/>
  <c r="G16" i="1"/>
  <c r="H16" i="1"/>
  <c r="I16" i="1"/>
  <c r="G17" i="1"/>
  <c r="H17" i="1"/>
  <c r="I17" i="1"/>
  <c r="G18" i="1"/>
  <c r="H18" i="1"/>
  <c r="I18" i="1"/>
  <c r="G19" i="1"/>
  <c r="H19" i="1"/>
  <c r="I19" i="1"/>
  <c r="G20" i="1"/>
  <c r="H20" i="1"/>
  <c r="I20" i="1"/>
  <c r="G21" i="1"/>
  <c r="H21" i="1"/>
  <c r="I21" i="1"/>
  <c r="G22" i="1"/>
  <c r="H22" i="1"/>
  <c r="I22" i="1"/>
  <c r="G23" i="1"/>
  <c r="H23" i="1"/>
  <c r="I23" i="1"/>
  <c r="G24" i="1"/>
  <c r="H24" i="1"/>
  <c r="I24" i="1"/>
  <c r="G25" i="1"/>
  <c r="H25" i="1"/>
  <c r="I25" i="1"/>
  <c r="G26" i="1"/>
  <c r="H26" i="1"/>
  <c r="I26" i="1"/>
  <c r="G27" i="1"/>
  <c r="H27" i="1"/>
  <c r="I27" i="1"/>
  <c r="G28" i="1"/>
  <c r="H28" i="1"/>
  <c r="I28" i="1"/>
  <c r="G29" i="1"/>
  <c r="H29" i="1"/>
  <c r="I29" i="1"/>
  <c r="G30" i="1"/>
  <c r="H30" i="1"/>
  <c r="I30" i="1"/>
  <c r="G31" i="1"/>
  <c r="H31" i="1"/>
  <c r="I31" i="1"/>
  <c r="G32" i="1"/>
  <c r="H32" i="1"/>
  <c r="I32" i="1"/>
  <c r="G33" i="1"/>
  <c r="H33" i="1"/>
  <c r="I33" i="1"/>
  <c r="G34" i="1"/>
  <c r="H34" i="1"/>
  <c r="I34" i="1"/>
  <c r="G35" i="1"/>
  <c r="H35" i="1"/>
  <c r="I35" i="1"/>
  <c r="G36" i="1"/>
  <c r="H36" i="1"/>
  <c r="I36" i="1"/>
  <c r="G37" i="1"/>
  <c r="H37" i="1"/>
  <c r="I37" i="1"/>
  <c r="G38" i="1"/>
  <c r="H38" i="1"/>
  <c r="I38" i="1"/>
  <c r="G39" i="1"/>
  <c r="H39" i="1"/>
  <c r="I39" i="1"/>
  <c r="G40" i="1"/>
  <c r="H40" i="1"/>
  <c r="I40" i="1"/>
  <c r="G41" i="1"/>
  <c r="H41" i="1"/>
  <c r="I41" i="1"/>
  <c r="G42" i="1"/>
  <c r="H42" i="1"/>
  <c r="I42" i="1"/>
  <c r="G43" i="1"/>
  <c r="H43" i="1"/>
  <c r="I43" i="1"/>
  <c r="G44" i="1"/>
  <c r="H44" i="1"/>
  <c r="I44" i="1"/>
  <c r="G45" i="1"/>
  <c r="H45" i="1"/>
  <c r="I45" i="1"/>
  <c r="G46" i="1"/>
  <c r="H46" i="1"/>
  <c r="I46" i="1"/>
  <c r="G47" i="1"/>
  <c r="H47" i="1"/>
  <c r="I47" i="1"/>
  <c r="G48" i="1"/>
  <c r="H48" i="1"/>
  <c r="I48" i="1"/>
  <c r="G49" i="1"/>
  <c r="H49" i="1"/>
  <c r="I49" i="1"/>
  <c r="G50" i="1"/>
  <c r="H50" i="1"/>
  <c r="I50" i="1"/>
  <c r="G51" i="1"/>
  <c r="H51" i="1"/>
  <c r="I51" i="1"/>
  <c r="G52" i="1"/>
  <c r="H52" i="1"/>
  <c r="I52" i="1"/>
  <c r="G53" i="1"/>
  <c r="H53" i="1"/>
  <c r="I53" i="1"/>
  <c r="G54" i="1"/>
  <c r="H54" i="1"/>
  <c r="I54" i="1"/>
  <c r="G55" i="1"/>
  <c r="H55" i="1"/>
  <c r="I55" i="1"/>
  <c r="G56" i="1"/>
  <c r="H56" i="1"/>
  <c r="I56" i="1"/>
  <c r="G57" i="1"/>
  <c r="H57" i="1"/>
  <c r="I57" i="1"/>
  <c r="G58" i="1"/>
  <c r="H58" i="1"/>
  <c r="I58" i="1"/>
  <c r="G59" i="1"/>
  <c r="H59" i="1"/>
  <c r="I59" i="1"/>
  <c r="G60" i="1"/>
  <c r="H60" i="1"/>
  <c r="I60" i="1"/>
  <c r="G61" i="1"/>
  <c r="H61" i="1"/>
  <c r="I61" i="1"/>
  <c r="G62" i="1"/>
  <c r="H62" i="1"/>
  <c r="I62" i="1"/>
  <c r="G63" i="1"/>
  <c r="H63" i="1"/>
  <c r="I63" i="1"/>
  <c r="G64" i="1"/>
  <c r="H64" i="1"/>
  <c r="I64" i="1"/>
  <c r="G65" i="1"/>
  <c r="H65" i="1"/>
  <c r="I65" i="1"/>
  <c r="G66" i="1"/>
  <c r="H66" i="1"/>
  <c r="I66" i="1"/>
  <c r="G67" i="1"/>
  <c r="H67" i="1"/>
  <c r="I67" i="1"/>
  <c r="G68" i="1"/>
  <c r="H68" i="1"/>
  <c r="I68" i="1"/>
  <c r="G69" i="1"/>
  <c r="H69" i="1"/>
  <c r="I69" i="1"/>
  <c r="G70" i="1"/>
  <c r="H70" i="1"/>
  <c r="I70" i="1"/>
  <c r="G71" i="1"/>
  <c r="H71" i="1"/>
  <c r="I71" i="1"/>
  <c r="G72" i="1"/>
  <c r="H72" i="1"/>
  <c r="I72" i="1"/>
  <c r="G73" i="1"/>
  <c r="H73" i="1"/>
  <c r="I73" i="1"/>
  <c r="G74" i="1"/>
  <c r="H74" i="1"/>
  <c r="I74" i="1"/>
  <c r="G75" i="1"/>
  <c r="H75" i="1"/>
  <c r="I75" i="1"/>
  <c r="G76" i="1"/>
  <c r="H76" i="1"/>
  <c r="I76" i="1"/>
  <c r="G77" i="1"/>
  <c r="H77" i="1"/>
  <c r="I77" i="1"/>
  <c r="G78" i="1"/>
  <c r="H78" i="1"/>
  <c r="I78" i="1"/>
  <c r="G79" i="1"/>
  <c r="H79" i="1"/>
  <c r="I79" i="1"/>
  <c r="G80" i="1"/>
  <c r="H80" i="1"/>
  <c r="I80" i="1"/>
  <c r="G81" i="1"/>
  <c r="H81" i="1"/>
  <c r="I81" i="1"/>
  <c r="G82" i="1"/>
  <c r="H82" i="1"/>
  <c r="I82" i="1"/>
  <c r="G83" i="1"/>
  <c r="H83" i="1"/>
  <c r="I83" i="1"/>
  <c r="G84" i="1"/>
  <c r="H84" i="1"/>
  <c r="I84" i="1"/>
  <c r="G85" i="1"/>
  <c r="H85" i="1"/>
  <c r="I85" i="1"/>
  <c r="G86" i="1"/>
  <c r="H86" i="1"/>
  <c r="I86" i="1"/>
  <c r="G87" i="1"/>
  <c r="H87" i="1"/>
  <c r="I87" i="1"/>
  <c r="G88" i="1"/>
  <c r="H88" i="1"/>
  <c r="I88" i="1"/>
  <c r="G89" i="1"/>
  <c r="H89" i="1"/>
  <c r="I89" i="1"/>
  <c r="G90" i="1"/>
  <c r="H90" i="1"/>
  <c r="I90" i="1"/>
  <c r="G91" i="1"/>
  <c r="H91" i="1"/>
  <c r="I91" i="1"/>
  <c r="G92" i="1"/>
  <c r="H92" i="1"/>
  <c r="I92" i="1"/>
  <c r="G93" i="1"/>
  <c r="H93" i="1"/>
  <c r="I93" i="1"/>
  <c r="G94" i="1"/>
  <c r="H94" i="1"/>
  <c r="I94" i="1"/>
  <c r="G95" i="1"/>
  <c r="H95" i="1"/>
  <c r="I95" i="1"/>
  <c r="G96" i="1"/>
  <c r="H96" i="1"/>
  <c r="I96" i="1"/>
  <c r="Q4" i="1"/>
  <c r="S4" i="1"/>
</calcChain>
</file>

<file path=xl/sharedStrings.xml><?xml version="1.0" encoding="utf-8"?>
<sst xmlns="http://schemas.openxmlformats.org/spreadsheetml/2006/main" count="88" uniqueCount="40">
  <si>
    <t>k4=</t>
  </si>
  <si>
    <t>k3=</t>
  </si>
  <si>
    <t>k2=</t>
  </si>
  <si>
    <t>k1=</t>
  </si>
  <si>
    <t>e3=</t>
  </si>
  <si>
    <t>d3=</t>
  </si>
  <si>
    <t>c3=</t>
  </si>
  <si>
    <t>b3=</t>
  </si>
  <si>
    <t>a3=</t>
  </si>
  <si>
    <t>a2=</t>
  </si>
  <si>
    <t>a1=</t>
  </si>
  <si>
    <t>a0=</t>
  </si>
  <si>
    <t>spot rates</t>
  </si>
  <si>
    <t>UB</t>
  </si>
  <si>
    <t>LB</t>
  </si>
  <si>
    <t>max_error_yield</t>
  </si>
  <si>
    <t>SSE_yield</t>
  </si>
  <si>
    <t>max_error_price</t>
  </si>
  <si>
    <t>SSE_price</t>
  </si>
  <si>
    <t>sample_size</t>
  </si>
  <si>
    <t>abs_error_yield</t>
  </si>
  <si>
    <t>error_yield</t>
  </si>
  <si>
    <t>abs_error_price</t>
  </si>
  <si>
    <t>error_price</t>
  </si>
  <si>
    <t>Predicted_yield</t>
  </si>
  <si>
    <t>Predicted_price</t>
  </si>
  <si>
    <t>AI</t>
  </si>
  <si>
    <t>next_coupon_date</t>
  </si>
  <si>
    <t>prev_coupon_date</t>
  </si>
  <si>
    <t>Asked_Yield</t>
  </si>
  <si>
    <t>Asked_price</t>
  </si>
  <si>
    <t>Coupon</t>
  </si>
  <si>
    <t>TTM</t>
  </si>
  <si>
    <t>Maturity</t>
  </si>
  <si>
    <t>Obligation_Date</t>
  </si>
  <si>
    <t>Obligation_Amount</t>
  </si>
  <si>
    <t>Bond1</t>
  </si>
  <si>
    <t>Bond2</t>
  </si>
  <si>
    <t>FWDuration</t>
  </si>
  <si>
    <t>a4=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</si>
</sst>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14" fontId="0" fillId="0" borderId="0" xfId="0" applyNumberFormat="1"/>
    <xf numFmtId="2" fontId="0" fillId="0" borderId="0" xfId="0" applyNumberFormat="1"/>
    <xf numFmtId="11" fontId="0" fillId="0" borderId="0" xfId="0" applyNumberFormat="1"/>
    <xf numFmtId="0" fontId="0" fillId="2" borderId="0" xfId="0" applyFill="1"/>
    <xf numFmtId="11" fontId="0" fillId="2" borderId="0" xfId="0" applyNumberFormat="1" applyFill="1"/>
    <xf numFmtId="0" fontId="0" fillId="3" borderId="0" xfId="0" applyFill="1"/>
    <xf numFmtId="3" fontId="0" fillId="0" borderId="0" xfId="0" applyNumberFormat="1"/>
    <xf numFmtId="0" fontId="0" fillId="0" borderId="0" xfId="0" applyFill="1"/>
    <xf numFmtId="14" fontId="0" fillId="0" borderId="0" xfId="0" applyNumberFormat="1" applyFill="1"/>
    <xf numFmtId="2" fontId="0" fillId="0" borderId="0" xfId="0" applyNumberFormat="1" applyFill="1"/>
    <xf numFmtId="14" fontId="0" fillId="4" borderId="0" xfId="0" applyNumberFormat="1" applyFill="1"/>
    <xf numFmtId="0" fontId="0" fillId="4" borderId="0" xfId="0" applyFill="1"/>
    <xf numFmtId="2" fontId="0" fillId="4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_rels/chart6.xml.rels><?xml version="1.0" encoding="UTF-8" standalone="yes"?>
<Relationships xmlns="http://schemas.openxmlformats.org/package/2006/relationships"><Relationship Id="rId1" Type="http://schemas.microsoft.com/office/2011/relationships/chartStyle" Target="style6.xml"/><Relationship Id="rId2" Type="http://schemas.microsoft.com/office/2011/relationships/chartColorStyle" Target="colors6.xml"/></Relationships>
</file>

<file path=xl/charts/_rels/chart7.xml.rels><?xml version="1.0" encoding="UTF-8" standalone="yes"?>
<Relationships xmlns="http://schemas.openxmlformats.org/package/2006/relationships"><Relationship Id="rId1" Type="http://schemas.microsoft.com/office/2011/relationships/chartStyle" Target="style7.xml"/><Relationship Id="rId2" Type="http://schemas.microsoft.com/office/2011/relationships/chartColorStyle" Target="colors7.xml"/></Relationships>
</file>

<file path=xl/charts/_rels/chart8.xml.rels><?xml version="1.0" encoding="UTF-8" standalone="yes"?>
<Relationships xmlns="http://schemas.openxmlformats.org/package/2006/relationships"><Relationship Id="rId1" Type="http://schemas.microsoft.com/office/2011/relationships/chartStyle" Target="style8.xml"/><Relationship Id="rId2" Type="http://schemas.microsoft.com/office/2011/relationships/chartColorStyle" Target="colors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Pricing Error</a:t>
            </a:r>
          </a:p>
        </c:rich>
      </c:tx>
      <c:layout>
        <c:manualLayout>
          <c:xMode val="edge"/>
          <c:yMode val="edge"/>
          <c:x val="0.375625909455619"/>
          <c:y val="0.05092582605256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spotCurvep4!$B$3:$B$182</c:f>
              <c:numCache>
                <c:formatCode>0.00</c:formatCode>
                <c:ptCount val="180"/>
                <c:pt idx="0">
                  <c:v>0.520547945205479</c:v>
                </c:pt>
                <c:pt idx="1">
                  <c:v>0.564383561643836</c:v>
                </c:pt>
                <c:pt idx="2">
                  <c:v>0.605479452054794</c:v>
                </c:pt>
                <c:pt idx="3">
                  <c:v>0.646575342465753</c:v>
                </c:pt>
                <c:pt idx="4">
                  <c:v>0.687671232876712</c:v>
                </c:pt>
                <c:pt idx="5">
                  <c:v>0.731506849315068</c:v>
                </c:pt>
                <c:pt idx="6">
                  <c:v>0.772602739726027</c:v>
                </c:pt>
                <c:pt idx="7">
                  <c:v>0.816438356164383</c:v>
                </c:pt>
                <c:pt idx="8">
                  <c:v>0.857534246575342</c:v>
                </c:pt>
                <c:pt idx="9">
                  <c:v>0.898630136986301</c:v>
                </c:pt>
                <c:pt idx="10">
                  <c:v>0.93972602739726</c:v>
                </c:pt>
                <c:pt idx="11">
                  <c:v>0.983561643835616</c:v>
                </c:pt>
                <c:pt idx="12">
                  <c:v>1.024657534246575</c:v>
                </c:pt>
                <c:pt idx="13">
                  <c:v>1.065753424657534</c:v>
                </c:pt>
                <c:pt idx="14">
                  <c:v>1.106849315068493</c:v>
                </c:pt>
                <c:pt idx="15">
                  <c:v>1.15068493150685</c:v>
                </c:pt>
                <c:pt idx="16">
                  <c:v>1.191780821917808</c:v>
                </c:pt>
                <c:pt idx="17">
                  <c:v>1.235616438356164</c:v>
                </c:pt>
                <c:pt idx="18">
                  <c:v>1.276712328767123</c:v>
                </c:pt>
                <c:pt idx="19">
                  <c:v>1.312328767123288</c:v>
                </c:pt>
                <c:pt idx="20">
                  <c:v>1.353424657534247</c:v>
                </c:pt>
                <c:pt idx="21">
                  <c:v>1.397260273972603</c:v>
                </c:pt>
                <c:pt idx="22">
                  <c:v>1.438356164383562</c:v>
                </c:pt>
                <c:pt idx="23">
                  <c:v>1.47945205479452</c:v>
                </c:pt>
                <c:pt idx="24">
                  <c:v>1.52054794520548</c:v>
                </c:pt>
                <c:pt idx="25">
                  <c:v>1.564383561643835</c:v>
                </c:pt>
                <c:pt idx="26">
                  <c:v>1.605479452054794</c:v>
                </c:pt>
                <c:pt idx="27">
                  <c:v>1.646575342465753</c:v>
                </c:pt>
                <c:pt idx="28">
                  <c:v>1.687671232876712</c:v>
                </c:pt>
                <c:pt idx="29">
                  <c:v>1.731506849315068</c:v>
                </c:pt>
                <c:pt idx="30">
                  <c:v>1.772602739726027</c:v>
                </c:pt>
                <c:pt idx="31">
                  <c:v>1.816438356164383</c:v>
                </c:pt>
                <c:pt idx="32">
                  <c:v>1.857534246575342</c:v>
                </c:pt>
                <c:pt idx="33">
                  <c:v>1.898630136986301</c:v>
                </c:pt>
                <c:pt idx="34">
                  <c:v>1.93972602739726</c:v>
                </c:pt>
                <c:pt idx="35">
                  <c:v>1.983561643835616</c:v>
                </c:pt>
                <c:pt idx="36">
                  <c:v>2.024657534246575</c:v>
                </c:pt>
                <c:pt idx="37">
                  <c:v>2.065753424657534</c:v>
                </c:pt>
                <c:pt idx="38">
                  <c:v>2.106849315068493</c:v>
                </c:pt>
                <c:pt idx="39">
                  <c:v>2.150684931506849</c:v>
                </c:pt>
                <c:pt idx="40">
                  <c:v>2.191780821917808</c:v>
                </c:pt>
                <c:pt idx="41">
                  <c:v>2.235616438356165</c:v>
                </c:pt>
                <c:pt idx="42">
                  <c:v>2.276712328767123</c:v>
                </c:pt>
                <c:pt idx="43">
                  <c:v>2.315068493150685</c:v>
                </c:pt>
                <c:pt idx="44">
                  <c:v>2.356164383561644</c:v>
                </c:pt>
                <c:pt idx="45">
                  <c:v>2.4</c:v>
                </c:pt>
                <c:pt idx="46">
                  <c:v>2.482191780821917</c:v>
                </c:pt>
                <c:pt idx="47">
                  <c:v>2.523287671232876</c:v>
                </c:pt>
                <c:pt idx="48">
                  <c:v>2.567123287671232</c:v>
                </c:pt>
                <c:pt idx="49">
                  <c:v>2.608219178082192</c:v>
                </c:pt>
                <c:pt idx="50">
                  <c:v>2.649315068493151</c:v>
                </c:pt>
                <c:pt idx="51">
                  <c:v>2.690410958904109</c:v>
                </c:pt>
                <c:pt idx="52">
                  <c:v>2.734246575342466</c:v>
                </c:pt>
                <c:pt idx="53">
                  <c:v>2.775342465753424</c:v>
                </c:pt>
                <c:pt idx="54">
                  <c:v>2.819178082191781</c:v>
                </c:pt>
                <c:pt idx="55">
                  <c:v>2.860273972602739</c:v>
                </c:pt>
                <c:pt idx="56">
                  <c:v>2.901369863013699</c:v>
                </c:pt>
                <c:pt idx="57">
                  <c:v>2.942465753424658</c:v>
                </c:pt>
                <c:pt idx="58">
                  <c:v>2.986301369863014</c:v>
                </c:pt>
                <c:pt idx="59">
                  <c:v>3.027397260273972</c:v>
                </c:pt>
                <c:pt idx="60">
                  <c:v>3.068493150684931</c:v>
                </c:pt>
                <c:pt idx="61">
                  <c:v>3.153424657534246</c:v>
                </c:pt>
                <c:pt idx="62">
                  <c:v>3.238356164383561</c:v>
                </c:pt>
                <c:pt idx="63">
                  <c:v>3.27945205479452</c:v>
                </c:pt>
                <c:pt idx="64">
                  <c:v>3.315068493150685</c:v>
                </c:pt>
                <c:pt idx="65">
                  <c:v>3.4</c:v>
                </c:pt>
                <c:pt idx="66">
                  <c:v>3.482191780821917</c:v>
                </c:pt>
                <c:pt idx="67">
                  <c:v>3.523287671232876</c:v>
                </c:pt>
                <c:pt idx="68">
                  <c:v>3.567123287671232</c:v>
                </c:pt>
                <c:pt idx="69">
                  <c:v>3.649315068493151</c:v>
                </c:pt>
                <c:pt idx="70">
                  <c:v>3.734246575342466</c:v>
                </c:pt>
                <c:pt idx="71">
                  <c:v>3.775342465753424</c:v>
                </c:pt>
                <c:pt idx="72">
                  <c:v>3.819178082191781</c:v>
                </c:pt>
                <c:pt idx="73">
                  <c:v>3.901369863013699</c:v>
                </c:pt>
                <c:pt idx="74">
                  <c:v>3.986301369863014</c:v>
                </c:pt>
                <c:pt idx="75">
                  <c:v>4.027397260273973</c:v>
                </c:pt>
                <c:pt idx="76">
                  <c:v>4.068493150684931</c:v>
                </c:pt>
                <c:pt idx="77">
                  <c:v>4.153424657534247</c:v>
                </c:pt>
                <c:pt idx="78">
                  <c:v>4.23835616438356</c:v>
                </c:pt>
                <c:pt idx="79">
                  <c:v>4.27945205479452</c:v>
                </c:pt>
                <c:pt idx="80">
                  <c:v>4.315068493150684</c:v>
                </c:pt>
                <c:pt idx="81">
                  <c:v>4.4</c:v>
                </c:pt>
                <c:pt idx="82">
                  <c:v>4.482191780821917</c:v>
                </c:pt>
                <c:pt idx="83">
                  <c:v>4.523287671232877</c:v>
                </c:pt>
                <c:pt idx="84">
                  <c:v>4.567123287671233</c:v>
                </c:pt>
                <c:pt idx="85">
                  <c:v>4.64931506849315</c:v>
                </c:pt>
                <c:pt idx="86">
                  <c:v>4.734246575342465</c:v>
                </c:pt>
                <c:pt idx="87">
                  <c:v>4.775342465753424</c:v>
                </c:pt>
                <c:pt idx="88">
                  <c:v>4.81917808219178</c:v>
                </c:pt>
                <c:pt idx="89">
                  <c:v>4.901369863013698</c:v>
                </c:pt>
                <c:pt idx="90">
                  <c:v>4.986301369863014</c:v>
                </c:pt>
                <c:pt idx="91">
                  <c:v>5.027397260273973</c:v>
                </c:pt>
                <c:pt idx="92">
                  <c:v>5.068493150684931</c:v>
                </c:pt>
                <c:pt idx="93">
                  <c:v>5.153424657534247</c:v>
                </c:pt>
                <c:pt idx="94">
                  <c:v>5.23835616438356</c:v>
                </c:pt>
                <c:pt idx="95">
                  <c:v>5.27945205479452</c:v>
                </c:pt>
                <c:pt idx="96">
                  <c:v>5.315068493150684</c:v>
                </c:pt>
                <c:pt idx="97">
                  <c:v>5.4</c:v>
                </c:pt>
                <c:pt idx="98">
                  <c:v>5.482191780821917</c:v>
                </c:pt>
                <c:pt idx="99">
                  <c:v>5.523287671232877</c:v>
                </c:pt>
                <c:pt idx="100">
                  <c:v>5.567123287671233</c:v>
                </c:pt>
                <c:pt idx="101">
                  <c:v>5.64931506849315</c:v>
                </c:pt>
                <c:pt idx="102">
                  <c:v>5.734246575342465</c:v>
                </c:pt>
                <c:pt idx="103">
                  <c:v>5.775342465753424</c:v>
                </c:pt>
                <c:pt idx="104">
                  <c:v>5.81917808219178</c:v>
                </c:pt>
                <c:pt idx="105">
                  <c:v>5.901369863013698</c:v>
                </c:pt>
                <c:pt idx="106">
                  <c:v>5.986301369863014</c:v>
                </c:pt>
                <c:pt idx="107">
                  <c:v>6.027397260273973</c:v>
                </c:pt>
                <c:pt idx="108">
                  <c:v>6.068493150684931</c:v>
                </c:pt>
                <c:pt idx="109">
                  <c:v>6.153424657534247</c:v>
                </c:pt>
                <c:pt idx="110">
                  <c:v>6.27945205479452</c:v>
                </c:pt>
                <c:pt idx="111">
                  <c:v>6.317808219178082</c:v>
                </c:pt>
                <c:pt idx="112">
                  <c:v>6.402739726027397</c:v>
                </c:pt>
                <c:pt idx="113">
                  <c:v>6.484931506849315</c:v>
                </c:pt>
                <c:pt idx="114">
                  <c:v>6.526027397260274</c:v>
                </c:pt>
                <c:pt idx="115">
                  <c:v>6.56986301369863</c:v>
                </c:pt>
                <c:pt idx="116">
                  <c:v>6.652054794520548</c:v>
                </c:pt>
                <c:pt idx="117">
                  <c:v>6.736986301369863</c:v>
                </c:pt>
                <c:pt idx="118">
                  <c:v>6.77808219178082</c:v>
                </c:pt>
                <c:pt idx="119">
                  <c:v>6.821917808219178</c:v>
                </c:pt>
                <c:pt idx="120">
                  <c:v>6.904109589041096</c:v>
                </c:pt>
                <c:pt idx="121">
                  <c:v>6.98904109589041</c:v>
                </c:pt>
                <c:pt idx="122">
                  <c:v>7.03013698630137</c:v>
                </c:pt>
                <c:pt idx="123">
                  <c:v>7.282191780821917</c:v>
                </c:pt>
                <c:pt idx="124">
                  <c:v>7.526027397260274</c:v>
                </c:pt>
                <c:pt idx="125">
                  <c:v>7.77808219178082</c:v>
                </c:pt>
                <c:pt idx="126">
                  <c:v>8.03013698630137</c:v>
                </c:pt>
                <c:pt idx="127">
                  <c:v>8.282191780821918</c:v>
                </c:pt>
                <c:pt idx="128">
                  <c:v>8.526027397260273</c:v>
                </c:pt>
                <c:pt idx="129">
                  <c:v>8.778082191780822</c:v>
                </c:pt>
                <c:pt idx="130">
                  <c:v>9.03013698630137</c:v>
                </c:pt>
                <c:pt idx="131">
                  <c:v>9.282191780821918</c:v>
                </c:pt>
                <c:pt idx="132">
                  <c:v>9.526027397260273</c:v>
                </c:pt>
                <c:pt idx="133">
                  <c:v>9.778082191780822</c:v>
                </c:pt>
                <c:pt idx="134">
                  <c:v>10.78082191780822</c:v>
                </c:pt>
                <c:pt idx="135">
                  <c:v>11.03287671232877</c:v>
                </c:pt>
                <c:pt idx="136">
                  <c:v>11.28493150684931</c:v>
                </c:pt>
                <c:pt idx="137">
                  <c:v>11.78082191780822</c:v>
                </c:pt>
                <c:pt idx="138">
                  <c:v>12.52876712328767</c:v>
                </c:pt>
                <c:pt idx="139">
                  <c:v>13.28493150684931</c:v>
                </c:pt>
                <c:pt idx="140">
                  <c:v>18.28767123287671</c:v>
                </c:pt>
                <c:pt idx="141">
                  <c:v>19.29041095890411</c:v>
                </c:pt>
                <c:pt idx="142">
                  <c:v>19.53424657534246</c:v>
                </c:pt>
                <c:pt idx="143">
                  <c:v>20.29041095890411</c:v>
                </c:pt>
                <c:pt idx="144">
                  <c:v>20.53424657534246</c:v>
                </c:pt>
                <c:pt idx="145">
                  <c:v>21.29041095890411</c:v>
                </c:pt>
                <c:pt idx="146">
                  <c:v>21.53424657534246</c:v>
                </c:pt>
                <c:pt idx="147">
                  <c:v>21.78630136986301</c:v>
                </c:pt>
                <c:pt idx="148">
                  <c:v>22.03835616438356</c:v>
                </c:pt>
                <c:pt idx="149">
                  <c:v>22.29041095890411</c:v>
                </c:pt>
                <c:pt idx="150">
                  <c:v>22.53698630136986</c:v>
                </c:pt>
                <c:pt idx="151">
                  <c:v>22.78904109589041</c:v>
                </c:pt>
                <c:pt idx="152">
                  <c:v>23.04109589041096</c:v>
                </c:pt>
                <c:pt idx="153">
                  <c:v>23.29315068493151</c:v>
                </c:pt>
                <c:pt idx="154">
                  <c:v>23.53698630136986</c:v>
                </c:pt>
                <c:pt idx="155">
                  <c:v>23.78904109589041</c:v>
                </c:pt>
                <c:pt idx="156">
                  <c:v>24.04109589041096</c:v>
                </c:pt>
                <c:pt idx="157">
                  <c:v>24.29315068493151</c:v>
                </c:pt>
                <c:pt idx="158">
                  <c:v>24.53698630136986</c:v>
                </c:pt>
                <c:pt idx="159">
                  <c:v>24.78904109589041</c:v>
                </c:pt>
                <c:pt idx="160">
                  <c:v>25.04109589041096</c:v>
                </c:pt>
                <c:pt idx="161">
                  <c:v>25.29315068493151</c:v>
                </c:pt>
                <c:pt idx="162">
                  <c:v>25.53698630136986</c:v>
                </c:pt>
                <c:pt idx="163">
                  <c:v>25.78904109589041</c:v>
                </c:pt>
                <c:pt idx="164">
                  <c:v>26.04109589041096</c:v>
                </c:pt>
                <c:pt idx="165">
                  <c:v>26.29315068493151</c:v>
                </c:pt>
                <c:pt idx="166">
                  <c:v>26.53972602739726</c:v>
                </c:pt>
                <c:pt idx="167">
                  <c:v>26.79178082191781</c:v>
                </c:pt>
                <c:pt idx="168">
                  <c:v>27.04383561643836</c:v>
                </c:pt>
                <c:pt idx="169">
                  <c:v>27.2958904109589</c:v>
                </c:pt>
                <c:pt idx="170">
                  <c:v>27.53972602739726</c:v>
                </c:pt>
                <c:pt idx="171">
                  <c:v>27.79178082191781</c:v>
                </c:pt>
                <c:pt idx="172">
                  <c:v>28.04383561643836</c:v>
                </c:pt>
                <c:pt idx="173">
                  <c:v>28.2958904109589</c:v>
                </c:pt>
                <c:pt idx="174">
                  <c:v>28.53972602739726</c:v>
                </c:pt>
                <c:pt idx="175">
                  <c:v>28.79178082191781</c:v>
                </c:pt>
                <c:pt idx="176">
                  <c:v>29.04383561643836</c:v>
                </c:pt>
                <c:pt idx="177">
                  <c:v>29.2958904109589</c:v>
                </c:pt>
                <c:pt idx="178">
                  <c:v>29.53972602739726</c:v>
                </c:pt>
                <c:pt idx="179">
                  <c:v>29.79178082191781</c:v>
                </c:pt>
              </c:numCache>
            </c:numRef>
          </c:xVal>
          <c:yVal>
            <c:numRef>
              <c:f>spotCurvep4!$L$3:$L$182</c:f>
              <c:numCache>
                <c:formatCode>General</c:formatCode>
                <c:ptCount val="180"/>
                <c:pt idx="0">
                  <c:v>-0.00852576556984274</c:v>
                </c:pt>
                <c:pt idx="1">
                  <c:v>0.0176261447819428</c:v>
                </c:pt>
                <c:pt idx="2">
                  <c:v>0.0280598497285496</c:v>
                </c:pt>
                <c:pt idx="3">
                  <c:v>0.0306563739921302</c:v>
                </c:pt>
                <c:pt idx="4">
                  <c:v>0.0502084321325924</c:v>
                </c:pt>
                <c:pt idx="5">
                  <c:v>0.0576533869645885</c:v>
                </c:pt>
                <c:pt idx="6">
                  <c:v>0.0626219925858891</c:v>
                </c:pt>
                <c:pt idx="7">
                  <c:v>0.069568247546286</c:v>
                </c:pt>
                <c:pt idx="8">
                  <c:v>0.0861896419350501</c:v>
                </c:pt>
                <c:pt idx="9">
                  <c:v>0.0925601363693289</c:v>
                </c:pt>
                <c:pt idx="10">
                  <c:v>0.098047484954094</c:v>
                </c:pt>
                <c:pt idx="11">
                  <c:v>0.102481232279729</c:v>
                </c:pt>
                <c:pt idx="12">
                  <c:v>0.10648791306383</c:v>
                </c:pt>
                <c:pt idx="13">
                  <c:v>0.101770400664719</c:v>
                </c:pt>
                <c:pt idx="14">
                  <c:v>0.115704263825123</c:v>
                </c:pt>
                <c:pt idx="15">
                  <c:v>0.0977880421285135</c:v>
                </c:pt>
                <c:pt idx="16">
                  <c:v>0.0902757826105471</c:v>
                </c:pt>
                <c:pt idx="17">
                  <c:v>0.0978540228925339</c:v>
                </c:pt>
                <c:pt idx="18">
                  <c:v>0.103149536136357</c:v>
                </c:pt>
                <c:pt idx="19">
                  <c:v>0.09961027783595</c:v>
                </c:pt>
                <c:pt idx="20">
                  <c:v>0.104599625217162</c:v>
                </c:pt>
                <c:pt idx="21">
                  <c:v>0.104339198848322</c:v>
                </c:pt>
                <c:pt idx="22">
                  <c:v>0.10733993903105</c:v>
                </c:pt>
                <c:pt idx="23">
                  <c:v>0.115539946496824</c:v>
                </c:pt>
                <c:pt idx="24">
                  <c:v>0.109500347076562</c:v>
                </c:pt>
                <c:pt idx="25">
                  <c:v>0.0792553899889583</c:v>
                </c:pt>
                <c:pt idx="26">
                  <c:v>0.125706034205891</c:v>
                </c:pt>
                <c:pt idx="27">
                  <c:v>0.113461049706402</c:v>
                </c:pt>
                <c:pt idx="28">
                  <c:v>0.0944096944789265</c:v>
                </c:pt>
                <c:pt idx="29">
                  <c:v>0.0973894673223441</c:v>
                </c:pt>
                <c:pt idx="30">
                  <c:v>0.0983012998053993</c:v>
                </c:pt>
                <c:pt idx="31">
                  <c:v>0.112312667324147</c:v>
                </c:pt>
                <c:pt idx="32">
                  <c:v>0.108018386220323</c:v>
                </c:pt>
                <c:pt idx="33">
                  <c:v>0.091222270384236</c:v>
                </c:pt>
                <c:pt idx="34">
                  <c:v>0.087407578421022</c:v>
                </c:pt>
                <c:pt idx="35">
                  <c:v>0.0831106690147294</c:v>
                </c:pt>
                <c:pt idx="36">
                  <c:v>0.0912659322790716</c:v>
                </c:pt>
                <c:pt idx="37">
                  <c:v>0.0857267565673254</c:v>
                </c:pt>
                <c:pt idx="38">
                  <c:v>0.104493606956339</c:v>
                </c:pt>
                <c:pt idx="39">
                  <c:v>0.0834708819692906</c:v>
                </c:pt>
                <c:pt idx="40">
                  <c:v>0.102358737536647</c:v>
                </c:pt>
                <c:pt idx="41">
                  <c:v>0.0844993962443112</c:v>
                </c:pt>
                <c:pt idx="42">
                  <c:v>0.0914256166679337</c:v>
                </c:pt>
                <c:pt idx="43">
                  <c:v>0.085277914201427</c:v>
                </c:pt>
                <c:pt idx="44">
                  <c:v>0.116064737216348</c:v>
                </c:pt>
                <c:pt idx="45">
                  <c:v>0.0803980996138165</c:v>
                </c:pt>
                <c:pt idx="46">
                  <c:v>0.0909624146928252</c:v>
                </c:pt>
                <c:pt idx="47">
                  <c:v>0.0970128313960998</c:v>
                </c:pt>
                <c:pt idx="48">
                  <c:v>0.0690447177982776</c:v>
                </c:pt>
                <c:pt idx="49">
                  <c:v>0.0786015860372657</c:v>
                </c:pt>
                <c:pt idx="50">
                  <c:v>0.092876736503868</c:v>
                </c:pt>
                <c:pt idx="51">
                  <c:v>0.0822697847796689</c:v>
                </c:pt>
                <c:pt idx="52">
                  <c:v>0.085502914220001</c:v>
                </c:pt>
                <c:pt idx="53">
                  <c:v>0.056443437235572</c:v>
                </c:pt>
                <c:pt idx="54">
                  <c:v>0.0662450769923737</c:v>
                </c:pt>
                <c:pt idx="55">
                  <c:v>0.0299286857499794</c:v>
                </c:pt>
                <c:pt idx="56">
                  <c:v>0.0720967222468118</c:v>
                </c:pt>
                <c:pt idx="57">
                  <c:v>0.0235608117320254</c:v>
                </c:pt>
                <c:pt idx="58">
                  <c:v>0.0656659550210747</c:v>
                </c:pt>
                <c:pt idx="59">
                  <c:v>0.094384565659297</c:v>
                </c:pt>
                <c:pt idx="60">
                  <c:v>0.100930536767493</c:v>
                </c:pt>
                <c:pt idx="61">
                  <c:v>0.109109729416048</c:v>
                </c:pt>
                <c:pt idx="62">
                  <c:v>0.114323598978189</c:v>
                </c:pt>
                <c:pt idx="63">
                  <c:v>0.0637728136952233</c:v>
                </c:pt>
                <c:pt idx="64">
                  <c:v>0.123742427514912</c:v>
                </c:pt>
                <c:pt idx="65">
                  <c:v>0.125890131510587</c:v>
                </c:pt>
                <c:pt idx="66">
                  <c:v>0.115553229094374</c:v>
                </c:pt>
                <c:pt idx="67">
                  <c:v>0.0656781730067024</c:v>
                </c:pt>
                <c:pt idx="68">
                  <c:v>0.119902877241827</c:v>
                </c:pt>
                <c:pt idx="69">
                  <c:v>0.132621722511431</c:v>
                </c:pt>
                <c:pt idx="70">
                  <c:v>0.141625342652233</c:v>
                </c:pt>
                <c:pt idx="71">
                  <c:v>0.137783605392215</c:v>
                </c:pt>
                <c:pt idx="72">
                  <c:v>0.146784782781978</c:v>
                </c:pt>
                <c:pt idx="73">
                  <c:v>0.143637837734516</c:v>
                </c:pt>
                <c:pt idx="74">
                  <c:v>0.130980711494828</c:v>
                </c:pt>
                <c:pt idx="75">
                  <c:v>0.0893328039806107</c:v>
                </c:pt>
                <c:pt idx="76">
                  <c:v>0.160461321578182</c:v>
                </c:pt>
                <c:pt idx="77">
                  <c:v>0.179123026195526</c:v>
                </c:pt>
                <c:pt idx="78">
                  <c:v>0.170592660121869</c:v>
                </c:pt>
                <c:pt idx="79">
                  <c:v>0.118764154378084</c:v>
                </c:pt>
                <c:pt idx="80">
                  <c:v>0.197372042328169</c:v>
                </c:pt>
                <c:pt idx="81">
                  <c:v>0.215899565962033</c:v>
                </c:pt>
                <c:pt idx="82">
                  <c:v>0.227121544651695</c:v>
                </c:pt>
                <c:pt idx="83">
                  <c:v>0.147670834519573</c:v>
                </c:pt>
                <c:pt idx="84">
                  <c:v>0.210308995845565</c:v>
                </c:pt>
                <c:pt idx="85">
                  <c:v>0.233026218252917</c:v>
                </c:pt>
                <c:pt idx="86">
                  <c:v>0.252416475996554</c:v>
                </c:pt>
                <c:pt idx="87">
                  <c:v>0.137765319875527</c:v>
                </c:pt>
                <c:pt idx="88">
                  <c:v>0.217617641979004</c:v>
                </c:pt>
                <c:pt idx="89">
                  <c:v>0.273484891206735</c:v>
                </c:pt>
                <c:pt idx="90">
                  <c:v>0.251057641463404</c:v>
                </c:pt>
                <c:pt idx="91">
                  <c:v>0.219967471288641</c:v>
                </c:pt>
                <c:pt idx="92">
                  <c:v>0.262626064216633</c:v>
                </c:pt>
                <c:pt idx="93">
                  <c:v>0.289403224792082</c:v>
                </c:pt>
                <c:pt idx="94">
                  <c:v>0.309161029268978</c:v>
                </c:pt>
                <c:pt idx="95">
                  <c:v>0.307242086303489</c:v>
                </c:pt>
                <c:pt idx="96">
                  <c:v>0.300512611087058</c:v>
                </c:pt>
                <c:pt idx="97">
                  <c:v>0.31633412381278</c:v>
                </c:pt>
                <c:pt idx="98">
                  <c:v>0.318107216660309</c:v>
                </c:pt>
                <c:pt idx="99">
                  <c:v>0.345851945108649</c:v>
                </c:pt>
                <c:pt idx="100">
                  <c:v>0.332101602903194</c:v>
                </c:pt>
                <c:pt idx="101">
                  <c:v>0.338748379392157</c:v>
                </c:pt>
                <c:pt idx="102">
                  <c:v>0.330996297339553</c:v>
                </c:pt>
                <c:pt idx="103">
                  <c:v>0.305317733852448</c:v>
                </c:pt>
                <c:pt idx="104">
                  <c:v>0.3304369800545</c:v>
                </c:pt>
                <c:pt idx="105">
                  <c:v>0.340841096144103</c:v>
                </c:pt>
                <c:pt idx="106">
                  <c:v>0.311593268535475</c:v>
                </c:pt>
                <c:pt idx="107">
                  <c:v>0.334484003425729</c:v>
                </c:pt>
                <c:pt idx="108">
                  <c:v>0.317827707089904</c:v>
                </c:pt>
                <c:pt idx="109">
                  <c:v>0.388662682803215</c:v>
                </c:pt>
                <c:pt idx="110">
                  <c:v>0.430007456482159</c:v>
                </c:pt>
                <c:pt idx="111">
                  <c:v>0.438356259465422</c:v>
                </c:pt>
                <c:pt idx="112">
                  <c:v>0.448561480176778</c:v>
                </c:pt>
                <c:pt idx="113">
                  <c:v>0.443095325123835</c:v>
                </c:pt>
                <c:pt idx="114">
                  <c:v>0.469725148104018</c:v>
                </c:pt>
                <c:pt idx="115">
                  <c:v>0.463971714949949</c:v>
                </c:pt>
                <c:pt idx="116">
                  <c:v>0.470762078872696</c:v>
                </c:pt>
                <c:pt idx="117">
                  <c:v>0.476786789579307</c:v>
                </c:pt>
                <c:pt idx="118">
                  <c:v>0.493809317451038</c:v>
                </c:pt>
                <c:pt idx="119">
                  <c:v>0.453212098130493</c:v>
                </c:pt>
                <c:pt idx="120">
                  <c:v>0.480142352389222</c:v>
                </c:pt>
                <c:pt idx="121">
                  <c:v>0.492684938256815</c:v>
                </c:pt>
                <c:pt idx="122">
                  <c:v>0.502749940510114</c:v>
                </c:pt>
                <c:pt idx="123">
                  <c:v>0.538580603489692</c:v>
                </c:pt>
                <c:pt idx="124">
                  <c:v>0.552908889959312</c:v>
                </c:pt>
                <c:pt idx="125">
                  <c:v>0.592005132159855</c:v>
                </c:pt>
                <c:pt idx="126">
                  <c:v>0.615172308305745</c:v>
                </c:pt>
                <c:pt idx="127">
                  <c:v>0.617157337997909</c:v>
                </c:pt>
                <c:pt idx="128">
                  <c:v>0.638323325676396</c:v>
                </c:pt>
                <c:pt idx="129">
                  <c:v>0.622281762082608</c:v>
                </c:pt>
                <c:pt idx="130">
                  <c:v>0.648276842807036</c:v>
                </c:pt>
                <c:pt idx="131">
                  <c:v>0.685093180457002</c:v>
                </c:pt>
                <c:pt idx="132">
                  <c:v>0.664364317222393</c:v>
                </c:pt>
                <c:pt idx="133">
                  <c:v>0.624808760309392</c:v>
                </c:pt>
                <c:pt idx="134">
                  <c:v>0.591393629908111</c:v>
                </c:pt>
                <c:pt idx="135">
                  <c:v>0.509837874747348</c:v>
                </c:pt>
                <c:pt idx="136">
                  <c:v>0.524835332898647</c:v>
                </c:pt>
                <c:pt idx="137">
                  <c:v>0.531992337776444</c:v>
                </c:pt>
                <c:pt idx="138">
                  <c:v>0.554181394679517</c:v>
                </c:pt>
                <c:pt idx="139">
                  <c:v>0.281258338064021</c:v>
                </c:pt>
                <c:pt idx="140">
                  <c:v>-0.30051000273707</c:v>
                </c:pt>
                <c:pt idx="141">
                  <c:v>-0.00284017109771639</c:v>
                </c:pt>
                <c:pt idx="142">
                  <c:v>0.173993694249845</c:v>
                </c:pt>
                <c:pt idx="143">
                  <c:v>0.390786310624293</c:v>
                </c:pt>
                <c:pt idx="144">
                  <c:v>0.438173895678148</c:v>
                </c:pt>
                <c:pt idx="145">
                  <c:v>0.467742599047142</c:v>
                </c:pt>
                <c:pt idx="146">
                  <c:v>0.781086272847986</c:v>
                </c:pt>
                <c:pt idx="147">
                  <c:v>0.856057119680713</c:v>
                </c:pt>
                <c:pt idx="148">
                  <c:v>0.91691428870655</c:v>
                </c:pt>
                <c:pt idx="149">
                  <c:v>0.941648231587237</c:v>
                </c:pt>
                <c:pt idx="150">
                  <c:v>0.972003596177757</c:v>
                </c:pt>
                <c:pt idx="151">
                  <c:v>0.930895708706217</c:v>
                </c:pt>
                <c:pt idx="152">
                  <c:v>0.991846177643197</c:v>
                </c:pt>
                <c:pt idx="153">
                  <c:v>1.010300707384175</c:v>
                </c:pt>
                <c:pt idx="154">
                  <c:v>0.999685240839483</c:v>
                </c:pt>
                <c:pt idx="155">
                  <c:v>0.872003041012121</c:v>
                </c:pt>
                <c:pt idx="156">
                  <c:v>0.799905229823508</c:v>
                </c:pt>
                <c:pt idx="157">
                  <c:v>0.805555830336516</c:v>
                </c:pt>
                <c:pt idx="158">
                  <c:v>0.764043861322492</c:v>
                </c:pt>
                <c:pt idx="159">
                  <c:v>0.766236762522823</c:v>
                </c:pt>
                <c:pt idx="160">
                  <c:v>0.849246429741981</c:v>
                </c:pt>
                <c:pt idx="161">
                  <c:v>0.976525454187524</c:v>
                </c:pt>
                <c:pt idx="162">
                  <c:v>0.917492273557855</c:v>
                </c:pt>
                <c:pt idx="163">
                  <c:v>1.135159242602114</c:v>
                </c:pt>
                <c:pt idx="164">
                  <c:v>1.126191746018918</c:v>
                </c:pt>
                <c:pt idx="165">
                  <c:v>1.09197545543347</c:v>
                </c:pt>
                <c:pt idx="166">
                  <c:v>1.070974517291617</c:v>
                </c:pt>
                <c:pt idx="167">
                  <c:v>1.039213042701917</c:v>
                </c:pt>
                <c:pt idx="168">
                  <c:v>1.050164444165631</c:v>
                </c:pt>
                <c:pt idx="169">
                  <c:v>1.066575112087023</c:v>
                </c:pt>
                <c:pt idx="170">
                  <c:v>1.243152808892489</c:v>
                </c:pt>
                <c:pt idx="171">
                  <c:v>1.333734958410247</c:v>
                </c:pt>
                <c:pt idx="172">
                  <c:v>1.492740941983257</c:v>
                </c:pt>
                <c:pt idx="173">
                  <c:v>1.451687554881389</c:v>
                </c:pt>
                <c:pt idx="174">
                  <c:v>1.552038794838666</c:v>
                </c:pt>
                <c:pt idx="175">
                  <c:v>1.557663880521801</c:v>
                </c:pt>
                <c:pt idx="176">
                  <c:v>1.913135271256934</c:v>
                </c:pt>
                <c:pt idx="177">
                  <c:v>2.105752339403679</c:v>
                </c:pt>
                <c:pt idx="178">
                  <c:v>2.283736740426832</c:v>
                </c:pt>
                <c:pt idx="179">
                  <c:v>2.37075431766884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05-4B37-A3E2-480E273532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465488"/>
        <c:axId val="602367040"/>
      </c:scatterChart>
      <c:valAx>
        <c:axId val="602465488"/>
        <c:scaling>
          <c:orientation val="minMax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to Maturity (years)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367040"/>
        <c:crosses val="autoZero"/>
        <c:crossBetween val="midCat"/>
      </c:valAx>
      <c:valAx>
        <c:axId val="60236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Error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465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Spot Rate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spotCurvep4!$B$3:$B$182</c:f>
              <c:numCache>
                <c:formatCode>0.00</c:formatCode>
                <c:ptCount val="180"/>
                <c:pt idx="0">
                  <c:v>0.520547945205479</c:v>
                </c:pt>
                <c:pt idx="1">
                  <c:v>0.564383561643836</c:v>
                </c:pt>
                <c:pt idx="2">
                  <c:v>0.605479452054794</c:v>
                </c:pt>
                <c:pt idx="3">
                  <c:v>0.646575342465753</c:v>
                </c:pt>
                <c:pt idx="4">
                  <c:v>0.687671232876712</c:v>
                </c:pt>
                <c:pt idx="5">
                  <c:v>0.731506849315068</c:v>
                </c:pt>
                <c:pt idx="6">
                  <c:v>0.772602739726027</c:v>
                </c:pt>
                <c:pt idx="7">
                  <c:v>0.816438356164383</c:v>
                </c:pt>
                <c:pt idx="8">
                  <c:v>0.857534246575342</c:v>
                </c:pt>
                <c:pt idx="9">
                  <c:v>0.898630136986301</c:v>
                </c:pt>
                <c:pt idx="10">
                  <c:v>0.93972602739726</c:v>
                </c:pt>
                <c:pt idx="11">
                  <c:v>0.983561643835616</c:v>
                </c:pt>
                <c:pt idx="12">
                  <c:v>1.024657534246575</c:v>
                </c:pt>
                <c:pt idx="13">
                  <c:v>1.065753424657534</c:v>
                </c:pt>
                <c:pt idx="14">
                  <c:v>1.106849315068493</c:v>
                </c:pt>
                <c:pt idx="15">
                  <c:v>1.15068493150685</c:v>
                </c:pt>
                <c:pt idx="16">
                  <c:v>1.191780821917808</c:v>
                </c:pt>
                <c:pt idx="17">
                  <c:v>1.235616438356164</c:v>
                </c:pt>
                <c:pt idx="18">
                  <c:v>1.276712328767123</c:v>
                </c:pt>
                <c:pt idx="19">
                  <c:v>1.312328767123288</c:v>
                </c:pt>
                <c:pt idx="20">
                  <c:v>1.353424657534247</c:v>
                </c:pt>
                <c:pt idx="21">
                  <c:v>1.397260273972603</c:v>
                </c:pt>
                <c:pt idx="22">
                  <c:v>1.438356164383562</c:v>
                </c:pt>
                <c:pt idx="23">
                  <c:v>1.47945205479452</c:v>
                </c:pt>
                <c:pt idx="24">
                  <c:v>1.52054794520548</c:v>
                </c:pt>
                <c:pt idx="25">
                  <c:v>1.564383561643835</c:v>
                </c:pt>
                <c:pt idx="26">
                  <c:v>1.605479452054794</c:v>
                </c:pt>
                <c:pt idx="27">
                  <c:v>1.646575342465753</c:v>
                </c:pt>
                <c:pt idx="28">
                  <c:v>1.687671232876712</c:v>
                </c:pt>
                <c:pt idx="29">
                  <c:v>1.731506849315068</c:v>
                </c:pt>
                <c:pt idx="30">
                  <c:v>1.772602739726027</c:v>
                </c:pt>
                <c:pt idx="31">
                  <c:v>1.816438356164383</c:v>
                </c:pt>
                <c:pt idx="32">
                  <c:v>1.857534246575342</c:v>
                </c:pt>
                <c:pt idx="33">
                  <c:v>1.898630136986301</c:v>
                </c:pt>
                <c:pt idx="34">
                  <c:v>1.93972602739726</c:v>
                </c:pt>
                <c:pt idx="35">
                  <c:v>1.983561643835616</c:v>
                </c:pt>
                <c:pt idx="36">
                  <c:v>2.024657534246575</c:v>
                </c:pt>
                <c:pt idx="37">
                  <c:v>2.065753424657534</c:v>
                </c:pt>
                <c:pt idx="38">
                  <c:v>2.106849315068493</c:v>
                </c:pt>
                <c:pt idx="39">
                  <c:v>2.150684931506849</c:v>
                </c:pt>
                <c:pt idx="40">
                  <c:v>2.191780821917808</c:v>
                </c:pt>
                <c:pt idx="41">
                  <c:v>2.235616438356165</c:v>
                </c:pt>
                <c:pt idx="42">
                  <c:v>2.276712328767123</c:v>
                </c:pt>
                <c:pt idx="43">
                  <c:v>2.315068493150685</c:v>
                </c:pt>
                <c:pt idx="44">
                  <c:v>2.356164383561644</c:v>
                </c:pt>
                <c:pt idx="45">
                  <c:v>2.4</c:v>
                </c:pt>
                <c:pt idx="46">
                  <c:v>2.482191780821917</c:v>
                </c:pt>
                <c:pt idx="47">
                  <c:v>2.523287671232876</c:v>
                </c:pt>
                <c:pt idx="48">
                  <c:v>2.567123287671232</c:v>
                </c:pt>
                <c:pt idx="49">
                  <c:v>2.608219178082192</c:v>
                </c:pt>
                <c:pt idx="50">
                  <c:v>2.649315068493151</c:v>
                </c:pt>
                <c:pt idx="51">
                  <c:v>2.690410958904109</c:v>
                </c:pt>
                <c:pt idx="52">
                  <c:v>2.734246575342466</c:v>
                </c:pt>
                <c:pt idx="53">
                  <c:v>2.775342465753424</c:v>
                </c:pt>
                <c:pt idx="54">
                  <c:v>2.819178082191781</c:v>
                </c:pt>
                <c:pt idx="55">
                  <c:v>2.860273972602739</c:v>
                </c:pt>
                <c:pt idx="56">
                  <c:v>2.901369863013699</c:v>
                </c:pt>
                <c:pt idx="57">
                  <c:v>2.942465753424658</c:v>
                </c:pt>
                <c:pt idx="58">
                  <c:v>2.986301369863014</c:v>
                </c:pt>
                <c:pt idx="59">
                  <c:v>3.027397260273972</c:v>
                </c:pt>
                <c:pt idx="60">
                  <c:v>3.068493150684931</c:v>
                </c:pt>
                <c:pt idx="61">
                  <c:v>3.153424657534246</c:v>
                </c:pt>
                <c:pt idx="62">
                  <c:v>3.238356164383561</c:v>
                </c:pt>
                <c:pt idx="63">
                  <c:v>3.27945205479452</c:v>
                </c:pt>
                <c:pt idx="64">
                  <c:v>3.315068493150685</c:v>
                </c:pt>
                <c:pt idx="65">
                  <c:v>3.4</c:v>
                </c:pt>
                <c:pt idx="66">
                  <c:v>3.482191780821917</c:v>
                </c:pt>
                <c:pt idx="67">
                  <c:v>3.523287671232876</c:v>
                </c:pt>
                <c:pt idx="68">
                  <c:v>3.567123287671232</c:v>
                </c:pt>
                <c:pt idx="69">
                  <c:v>3.649315068493151</c:v>
                </c:pt>
                <c:pt idx="70">
                  <c:v>3.734246575342466</c:v>
                </c:pt>
                <c:pt idx="71">
                  <c:v>3.775342465753424</c:v>
                </c:pt>
                <c:pt idx="72">
                  <c:v>3.819178082191781</c:v>
                </c:pt>
                <c:pt idx="73">
                  <c:v>3.901369863013699</c:v>
                </c:pt>
                <c:pt idx="74">
                  <c:v>3.986301369863014</c:v>
                </c:pt>
                <c:pt idx="75">
                  <c:v>4.027397260273973</c:v>
                </c:pt>
                <c:pt idx="76">
                  <c:v>4.068493150684931</c:v>
                </c:pt>
                <c:pt idx="77">
                  <c:v>4.153424657534247</c:v>
                </c:pt>
                <c:pt idx="78">
                  <c:v>4.23835616438356</c:v>
                </c:pt>
                <c:pt idx="79">
                  <c:v>4.27945205479452</c:v>
                </c:pt>
                <c:pt idx="80">
                  <c:v>4.315068493150684</c:v>
                </c:pt>
                <c:pt idx="81">
                  <c:v>4.4</c:v>
                </c:pt>
                <c:pt idx="82">
                  <c:v>4.482191780821917</c:v>
                </c:pt>
                <c:pt idx="83">
                  <c:v>4.523287671232877</c:v>
                </c:pt>
                <c:pt idx="84">
                  <c:v>4.567123287671233</c:v>
                </c:pt>
                <c:pt idx="85">
                  <c:v>4.64931506849315</c:v>
                </c:pt>
                <c:pt idx="86">
                  <c:v>4.734246575342465</c:v>
                </c:pt>
                <c:pt idx="87">
                  <c:v>4.775342465753424</c:v>
                </c:pt>
                <c:pt idx="88">
                  <c:v>4.81917808219178</c:v>
                </c:pt>
                <c:pt idx="89">
                  <c:v>4.901369863013698</c:v>
                </c:pt>
                <c:pt idx="90">
                  <c:v>4.986301369863014</c:v>
                </c:pt>
                <c:pt idx="91">
                  <c:v>5.027397260273973</c:v>
                </c:pt>
                <c:pt idx="92">
                  <c:v>5.068493150684931</c:v>
                </c:pt>
                <c:pt idx="93">
                  <c:v>5.153424657534247</c:v>
                </c:pt>
                <c:pt idx="94">
                  <c:v>5.23835616438356</c:v>
                </c:pt>
                <c:pt idx="95">
                  <c:v>5.27945205479452</c:v>
                </c:pt>
                <c:pt idx="96">
                  <c:v>5.315068493150684</c:v>
                </c:pt>
                <c:pt idx="97">
                  <c:v>5.4</c:v>
                </c:pt>
                <c:pt idx="98">
                  <c:v>5.482191780821917</c:v>
                </c:pt>
                <c:pt idx="99">
                  <c:v>5.523287671232877</c:v>
                </c:pt>
                <c:pt idx="100">
                  <c:v>5.567123287671233</c:v>
                </c:pt>
                <c:pt idx="101">
                  <c:v>5.64931506849315</c:v>
                </c:pt>
                <c:pt idx="102">
                  <c:v>5.734246575342465</c:v>
                </c:pt>
                <c:pt idx="103">
                  <c:v>5.775342465753424</c:v>
                </c:pt>
                <c:pt idx="104">
                  <c:v>5.81917808219178</c:v>
                </c:pt>
                <c:pt idx="105">
                  <c:v>5.901369863013698</c:v>
                </c:pt>
                <c:pt idx="106">
                  <c:v>5.986301369863014</c:v>
                </c:pt>
                <c:pt idx="107">
                  <c:v>6.027397260273973</c:v>
                </c:pt>
                <c:pt idx="108">
                  <c:v>6.068493150684931</c:v>
                </c:pt>
                <c:pt idx="109">
                  <c:v>6.153424657534247</c:v>
                </c:pt>
                <c:pt idx="110">
                  <c:v>6.27945205479452</c:v>
                </c:pt>
                <c:pt idx="111">
                  <c:v>6.317808219178082</c:v>
                </c:pt>
                <c:pt idx="112">
                  <c:v>6.402739726027397</c:v>
                </c:pt>
                <c:pt idx="113">
                  <c:v>6.484931506849315</c:v>
                </c:pt>
                <c:pt idx="114">
                  <c:v>6.526027397260274</c:v>
                </c:pt>
                <c:pt idx="115">
                  <c:v>6.56986301369863</c:v>
                </c:pt>
                <c:pt idx="116">
                  <c:v>6.652054794520548</c:v>
                </c:pt>
                <c:pt idx="117">
                  <c:v>6.736986301369863</c:v>
                </c:pt>
                <c:pt idx="118">
                  <c:v>6.77808219178082</c:v>
                </c:pt>
                <c:pt idx="119">
                  <c:v>6.821917808219178</c:v>
                </c:pt>
                <c:pt idx="120">
                  <c:v>6.904109589041096</c:v>
                </c:pt>
                <c:pt idx="121">
                  <c:v>6.98904109589041</c:v>
                </c:pt>
                <c:pt idx="122">
                  <c:v>7.03013698630137</c:v>
                </c:pt>
                <c:pt idx="123">
                  <c:v>7.282191780821917</c:v>
                </c:pt>
                <c:pt idx="124">
                  <c:v>7.526027397260274</c:v>
                </c:pt>
                <c:pt idx="125">
                  <c:v>7.77808219178082</c:v>
                </c:pt>
                <c:pt idx="126">
                  <c:v>8.03013698630137</c:v>
                </c:pt>
                <c:pt idx="127">
                  <c:v>8.282191780821918</c:v>
                </c:pt>
                <c:pt idx="128">
                  <c:v>8.526027397260273</c:v>
                </c:pt>
                <c:pt idx="129">
                  <c:v>8.778082191780822</c:v>
                </c:pt>
                <c:pt idx="130">
                  <c:v>9.03013698630137</c:v>
                </c:pt>
                <c:pt idx="131">
                  <c:v>9.282191780821918</c:v>
                </c:pt>
                <c:pt idx="132">
                  <c:v>9.526027397260273</c:v>
                </c:pt>
                <c:pt idx="133">
                  <c:v>9.778082191780822</c:v>
                </c:pt>
                <c:pt idx="134">
                  <c:v>10.78082191780822</c:v>
                </c:pt>
                <c:pt idx="135">
                  <c:v>11.03287671232877</c:v>
                </c:pt>
                <c:pt idx="136">
                  <c:v>11.28493150684931</c:v>
                </c:pt>
                <c:pt idx="137">
                  <c:v>11.78082191780822</c:v>
                </c:pt>
                <c:pt idx="138">
                  <c:v>12.52876712328767</c:v>
                </c:pt>
                <c:pt idx="139">
                  <c:v>13.28493150684931</c:v>
                </c:pt>
                <c:pt idx="140">
                  <c:v>18.28767123287671</c:v>
                </c:pt>
                <c:pt idx="141">
                  <c:v>19.29041095890411</c:v>
                </c:pt>
                <c:pt idx="142">
                  <c:v>19.53424657534246</c:v>
                </c:pt>
                <c:pt idx="143">
                  <c:v>20.29041095890411</c:v>
                </c:pt>
                <c:pt idx="144">
                  <c:v>20.53424657534246</c:v>
                </c:pt>
                <c:pt idx="145">
                  <c:v>21.29041095890411</c:v>
                </c:pt>
                <c:pt idx="146">
                  <c:v>21.53424657534246</c:v>
                </c:pt>
                <c:pt idx="147">
                  <c:v>21.78630136986301</c:v>
                </c:pt>
                <c:pt idx="148">
                  <c:v>22.03835616438356</c:v>
                </c:pt>
                <c:pt idx="149">
                  <c:v>22.29041095890411</c:v>
                </c:pt>
                <c:pt idx="150">
                  <c:v>22.53698630136986</c:v>
                </c:pt>
                <c:pt idx="151">
                  <c:v>22.78904109589041</c:v>
                </c:pt>
                <c:pt idx="152">
                  <c:v>23.04109589041096</c:v>
                </c:pt>
                <c:pt idx="153">
                  <c:v>23.29315068493151</c:v>
                </c:pt>
                <c:pt idx="154">
                  <c:v>23.53698630136986</c:v>
                </c:pt>
                <c:pt idx="155">
                  <c:v>23.78904109589041</c:v>
                </c:pt>
                <c:pt idx="156">
                  <c:v>24.04109589041096</c:v>
                </c:pt>
                <c:pt idx="157">
                  <c:v>24.29315068493151</c:v>
                </c:pt>
                <c:pt idx="158">
                  <c:v>24.53698630136986</c:v>
                </c:pt>
                <c:pt idx="159">
                  <c:v>24.78904109589041</c:v>
                </c:pt>
                <c:pt idx="160">
                  <c:v>25.04109589041096</c:v>
                </c:pt>
                <c:pt idx="161">
                  <c:v>25.29315068493151</c:v>
                </c:pt>
                <c:pt idx="162">
                  <c:v>25.53698630136986</c:v>
                </c:pt>
                <c:pt idx="163">
                  <c:v>25.78904109589041</c:v>
                </c:pt>
                <c:pt idx="164">
                  <c:v>26.04109589041096</c:v>
                </c:pt>
                <c:pt idx="165">
                  <c:v>26.29315068493151</c:v>
                </c:pt>
                <c:pt idx="166">
                  <c:v>26.53972602739726</c:v>
                </c:pt>
                <c:pt idx="167">
                  <c:v>26.79178082191781</c:v>
                </c:pt>
                <c:pt idx="168">
                  <c:v>27.04383561643836</c:v>
                </c:pt>
                <c:pt idx="169">
                  <c:v>27.2958904109589</c:v>
                </c:pt>
                <c:pt idx="170">
                  <c:v>27.53972602739726</c:v>
                </c:pt>
                <c:pt idx="171">
                  <c:v>27.79178082191781</c:v>
                </c:pt>
                <c:pt idx="172">
                  <c:v>28.04383561643836</c:v>
                </c:pt>
                <c:pt idx="173">
                  <c:v>28.2958904109589</c:v>
                </c:pt>
                <c:pt idx="174">
                  <c:v>28.53972602739726</c:v>
                </c:pt>
                <c:pt idx="175">
                  <c:v>28.79178082191781</c:v>
                </c:pt>
                <c:pt idx="176">
                  <c:v>29.04383561643836</c:v>
                </c:pt>
                <c:pt idx="177">
                  <c:v>29.2958904109589</c:v>
                </c:pt>
                <c:pt idx="178">
                  <c:v>29.53972602739726</c:v>
                </c:pt>
                <c:pt idx="179">
                  <c:v>29.79178082191781</c:v>
                </c:pt>
              </c:numCache>
            </c:numRef>
          </c:xVal>
          <c:yVal>
            <c:numRef>
              <c:f>spotCurvep4!$AD$3:$AD$182</c:f>
              <c:numCache>
                <c:formatCode>General</c:formatCode>
                <c:ptCount val="180"/>
                <c:pt idx="0">
                  <c:v>0.0129160305367615</c:v>
                </c:pt>
                <c:pt idx="1">
                  <c:v>0.0130088233988426</c:v>
                </c:pt>
                <c:pt idx="2">
                  <c:v>0.013095220588358</c:v>
                </c:pt>
                <c:pt idx="3">
                  <c:v>0.0131810439710061</c:v>
                </c:pt>
                <c:pt idx="4">
                  <c:v>0.0132662965541203</c:v>
                </c:pt>
                <c:pt idx="5">
                  <c:v>0.0133566068744152</c:v>
                </c:pt>
                <c:pt idx="6">
                  <c:v>0.0134406893019136</c:v>
                </c:pt>
                <c:pt idx="7">
                  <c:v>0.0135297582617751</c:v>
                </c:pt>
                <c:pt idx="8">
                  <c:v>0.0136126832772296</c:v>
                </c:pt>
                <c:pt idx="9">
                  <c:v>0.0136950528093059</c:v>
                </c:pt>
                <c:pt idx="10">
                  <c:v>0.0137768698180041</c:v>
                </c:pt>
                <c:pt idx="11">
                  <c:v>0.0138635356166424</c:v>
                </c:pt>
                <c:pt idx="12">
                  <c:v>0.0139442200904529</c:v>
                </c:pt>
                <c:pt idx="13">
                  <c:v>0.0140243610700968</c:v>
                </c:pt>
                <c:pt idx="14">
                  <c:v>0.0141039614841901</c:v>
                </c:pt>
                <c:pt idx="15">
                  <c:v>0.0141882760600724</c:v>
                </c:pt>
                <c:pt idx="16">
                  <c:v>0.0142667685526695</c:v>
                </c:pt>
                <c:pt idx="17">
                  <c:v>0.0143499079718673</c:v>
                </c:pt>
                <c:pt idx="18">
                  <c:v>0.0144273049503301</c:v>
                </c:pt>
                <c:pt idx="19">
                  <c:v>0.0144939570327455</c:v>
                </c:pt>
                <c:pt idx="20">
                  <c:v>0.0145703751223006</c:v>
                </c:pt>
                <c:pt idx="21">
                  <c:v>0.0146513143557868</c:v>
                </c:pt>
                <c:pt idx="22">
                  <c:v>0.0147266603570184</c:v>
                </c:pt>
                <c:pt idx="23">
                  <c:v>0.0148014919932987</c:v>
                </c:pt>
                <c:pt idx="24">
                  <c:v>0.0148758121155557</c:v>
                </c:pt>
                <c:pt idx="25">
                  <c:v>0.0149545263138524</c:v>
                </c:pt>
                <c:pt idx="26">
                  <c:v>0.0150277983082508</c:v>
                </c:pt>
                <c:pt idx="27">
                  <c:v>0.0151005674833493</c:v>
                </c:pt>
                <c:pt idx="28">
                  <c:v>0.0151728366586918</c:v>
                </c:pt>
                <c:pt idx="29">
                  <c:v>0.0152493758362</c:v>
                </c:pt>
                <c:pt idx="30">
                  <c:v>0.0153206205803839</c:v>
                </c:pt>
                <c:pt idx="31">
                  <c:v>0.0153960734091095</c:v>
                </c:pt>
                <c:pt idx="32">
                  <c:v>0.0154663056636373</c:v>
                </c:pt>
                <c:pt idx="33">
                  <c:v>0.0155360522705792</c:v>
                </c:pt>
                <c:pt idx="34">
                  <c:v>0.0156053160021458</c:v>
                </c:pt>
                <c:pt idx="35">
                  <c:v>0.0156786681945017</c:v>
                </c:pt>
                <c:pt idx="36">
                  <c:v>0.0157469427353028</c:v>
                </c:pt>
                <c:pt idx="37">
                  <c:v>0.0158147428540527</c:v>
                </c:pt>
                <c:pt idx="38">
                  <c:v>0.0158820712915779</c:v>
                </c:pt>
                <c:pt idx="39">
                  <c:v>0.0159533714733704</c:v>
                </c:pt>
                <c:pt idx="40">
                  <c:v>0.0160197337552558</c:v>
                </c:pt>
                <c:pt idx="41">
                  <c:v>0.016090009569507</c:v>
                </c:pt>
                <c:pt idx="42">
                  <c:v>0.0161554173010453</c:v>
                </c:pt>
                <c:pt idx="43">
                  <c:v>0.0162160514860962</c:v>
                </c:pt>
                <c:pt idx="44">
                  <c:v>0.0162805766971888</c:v>
                </c:pt>
                <c:pt idx="45">
                  <c:v>0.0163489048630992</c:v>
                </c:pt>
                <c:pt idx="46">
                  <c:v>0.016475643715802</c:v>
                </c:pt>
                <c:pt idx="47">
                  <c:v>0.0165383452965775</c:v>
                </c:pt>
                <c:pt idx="48">
                  <c:v>0.0166047402093636</c:v>
                </c:pt>
                <c:pt idx="49">
                  <c:v>0.0166665318860065</c:v>
                </c:pt>
                <c:pt idx="50">
                  <c:v>0.0167278873370649</c:v>
                </c:pt>
                <c:pt idx="51">
                  <c:v>0.0167888091937788</c:v>
                </c:pt>
                <c:pt idx="52">
                  <c:v>0.0168533175461051</c:v>
                </c:pt>
                <c:pt idx="53">
                  <c:v>0.0169133516127967</c:v>
                </c:pt>
                <c:pt idx="54">
                  <c:v>0.0169769189379434</c:v>
                </c:pt>
                <c:pt idx="55">
                  <c:v>0.0170360763518484</c:v>
                </c:pt>
                <c:pt idx="56">
                  <c:v>0.0170948135569523</c:v>
                </c:pt>
                <c:pt idx="57">
                  <c:v>0.0171531331371618</c:v>
                </c:pt>
                <c:pt idx="58">
                  <c:v>0.0172148832764351</c:v>
                </c:pt>
                <c:pt idx="59">
                  <c:v>0.0172723479201589</c:v>
                </c:pt>
                <c:pt idx="60">
                  <c:v>0.017329402814847</c:v>
                </c:pt>
                <c:pt idx="61">
                  <c:v>0.0174460287704918</c:v>
                </c:pt>
                <c:pt idx="62">
                  <c:v>0.0175609379621728</c:v>
                </c:pt>
                <c:pt idx="63">
                  <c:v>0.0176159294934743</c:v>
                </c:pt>
                <c:pt idx="64">
                  <c:v>0.0176632698542858</c:v>
                </c:pt>
                <c:pt idx="65">
                  <c:v>0.0177749731093831</c:v>
                </c:pt>
                <c:pt idx="66">
                  <c:v>0.0178814994546954</c:v>
                </c:pt>
                <c:pt idx="67">
                  <c:v>0.0179341884934468</c:v>
                </c:pt>
                <c:pt idx="68">
                  <c:v>0.0179899719415509</c:v>
                </c:pt>
                <c:pt idx="69">
                  <c:v>0.0180934125999837</c:v>
                </c:pt>
                <c:pt idx="70">
                  <c:v>0.0181987384992369</c:v>
                </c:pt>
                <c:pt idx="71">
                  <c:v>0.0182491387085925</c:v>
                </c:pt>
                <c:pt idx="72">
                  <c:v>0.0183024972298791</c:v>
                </c:pt>
                <c:pt idx="73">
                  <c:v>0.0184014368365503</c:v>
                </c:pt>
                <c:pt idx="74">
                  <c:v>0.0185021739117268</c:v>
                </c:pt>
                <c:pt idx="75">
                  <c:v>0.0185503763185824</c:v>
                </c:pt>
                <c:pt idx="76">
                  <c:v>0.0185982288969137</c:v>
                </c:pt>
                <c:pt idx="77">
                  <c:v>0.0186960258068616</c:v>
                </c:pt>
                <c:pt idx="78">
                  <c:v>0.0187923594203283</c:v>
                </c:pt>
                <c:pt idx="79">
                  <c:v>0.018838453271009</c:v>
                </c:pt>
                <c:pt idx="80">
                  <c:v>0.0188781298527449</c:v>
                </c:pt>
                <c:pt idx="81">
                  <c:v>0.0189717353559241</c:v>
                </c:pt>
                <c:pt idx="82">
                  <c:v>0.0190609845174801</c:v>
                </c:pt>
                <c:pt idx="83">
                  <c:v>0.019105121821711</c:v>
                </c:pt>
                <c:pt idx="84">
                  <c:v>0.0191518469631525</c:v>
                </c:pt>
                <c:pt idx="85">
                  <c:v>0.0192384793103402</c:v>
                </c:pt>
                <c:pt idx="86">
                  <c:v>0.0193266764608651</c:v>
                </c:pt>
                <c:pt idx="87">
                  <c:v>0.0193688755938621</c:v>
                </c:pt>
                <c:pt idx="88">
                  <c:v>0.0194135485743468</c:v>
                </c:pt>
                <c:pt idx="89">
                  <c:v>0.0194963752736517</c:v>
                </c:pt>
                <c:pt idx="90">
                  <c:v>0.0195806973440931</c:v>
                </c:pt>
                <c:pt idx="91">
                  <c:v>0.0196210422685317</c:v>
                </c:pt>
                <c:pt idx="92">
                  <c:v>0.0196610927154152</c:v>
                </c:pt>
                <c:pt idx="93">
                  <c:v>0.0197429398147731</c:v>
                </c:pt>
                <c:pt idx="94">
                  <c:v>0.0198235575681092</c:v>
                </c:pt>
                <c:pt idx="95">
                  <c:v>0.0198621304660945</c:v>
                </c:pt>
                <c:pt idx="96">
                  <c:v>0.0198953327367046</c:v>
                </c:pt>
                <c:pt idx="97">
                  <c:v>0.0199736630607477</c:v>
                </c:pt>
                <c:pt idx="98">
                  <c:v>0.0200483479777894</c:v>
                </c:pt>
                <c:pt idx="99">
                  <c:v>0.0200852831628073</c:v>
                </c:pt>
                <c:pt idx="100">
                  <c:v>0.0201243845505964</c:v>
                </c:pt>
                <c:pt idx="101">
                  <c:v>0.0201968843601702</c:v>
                </c:pt>
                <c:pt idx="102">
                  <c:v>0.02027069852582</c:v>
                </c:pt>
                <c:pt idx="103">
                  <c:v>0.0203060181712398</c:v>
                </c:pt>
                <c:pt idx="104">
                  <c:v>0.0203434102689716</c:v>
                </c:pt>
                <c:pt idx="105">
                  <c:v>0.0204127437814889</c:v>
                </c:pt>
                <c:pt idx="106">
                  <c:v>0.020483338689561</c:v>
                </c:pt>
                <c:pt idx="107">
                  <c:v>0.0205171196938379</c:v>
                </c:pt>
                <c:pt idx="108">
                  <c:v>0.0205506570019866</c:v>
                </c:pt>
                <c:pt idx="109">
                  <c:v>0.0206192037286557</c:v>
                </c:pt>
                <c:pt idx="110">
                  <c:v>0.0207190530237585</c:v>
                </c:pt>
                <c:pt idx="111">
                  <c:v>0.0207490069966415</c:v>
                </c:pt>
                <c:pt idx="112">
                  <c:v>0.0208146235215689</c:v>
                </c:pt>
                <c:pt idx="113">
                  <c:v>0.0208772048874839</c:v>
                </c:pt>
                <c:pt idx="114">
                  <c:v>0.0209081616366615</c:v>
                </c:pt>
                <c:pt idx="115">
                  <c:v>0.0209409396359867</c:v>
                </c:pt>
                <c:pt idx="116">
                  <c:v>0.0210017314656072</c:v>
                </c:pt>
                <c:pt idx="117">
                  <c:v>0.0210636493458997</c:v>
                </c:pt>
                <c:pt idx="118">
                  <c:v>0.0210932859292284</c:v>
                </c:pt>
                <c:pt idx="119">
                  <c:v>0.0211246684308386</c:v>
                </c:pt>
                <c:pt idx="120">
                  <c:v>0.0211828787822573</c:v>
                </c:pt>
                <c:pt idx="121">
                  <c:v>0.0212421768645136</c:v>
                </c:pt>
                <c:pt idx="122">
                  <c:v>0.0212705630968744</c:v>
                </c:pt>
                <c:pt idx="123">
                  <c:v>0.021440414986834</c:v>
                </c:pt>
                <c:pt idx="124">
                  <c:v>0.0215980490742265</c:v>
                </c:pt>
                <c:pt idx="125">
                  <c:v>0.021754481756171</c:v>
                </c:pt>
                <c:pt idx="126">
                  <c:v>0.0219046766618396</c:v>
                </c:pt>
                <c:pt idx="127">
                  <c:v>0.0220490123112489</c:v>
                </c:pt>
                <c:pt idx="128">
                  <c:v>0.0221834116817386</c:v>
                </c:pt>
                <c:pt idx="129">
                  <c:v>0.0223172826274923</c:v>
                </c:pt>
                <c:pt idx="130">
                  <c:v>0.0224463532495879</c:v>
                </c:pt>
                <c:pt idx="131">
                  <c:v>0.0225709587408244</c:v>
                </c:pt>
                <c:pt idx="132">
                  <c:v>0.0226875572207293</c:v>
                </c:pt>
                <c:pt idx="133">
                  <c:v>0.0228043143259208</c:v>
                </c:pt>
                <c:pt idx="134">
                  <c:v>0.023236617968696</c:v>
                </c:pt>
                <c:pt idx="135">
                  <c:v>0.0233385608950966</c:v>
                </c:pt>
                <c:pt idx="136">
                  <c:v>0.0234383138948633</c:v>
                </c:pt>
                <c:pt idx="137">
                  <c:v>0.0236290812790246</c:v>
                </c:pt>
                <c:pt idx="138">
                  <c:v>0.0239061808412164</c:v>
                </c:pt>
                <c:pt idx="139">
                  <c:v>0.0241778613297226</c:v>
                </c:pt>
                <c:pt idx="140">
                  <c:v>0.0259865801642651</c:v>
                </c:pt>
                <c:pt idx="141">
                  <c:v>0.0263660287307839</c:v>
                </c:pt>
                <c:pt idx="142">
                  <c:v>0.0264583312896863</c:v>
                </c:pt>
                <c:pt idx="143">
                  <c:v>0.0267428023588009</c:v>
                </c:pt>
                <c:pt idx="144">
                  <c:v>0.0268335155328845</c:v>
                </c:pt>
                <c:pt idx="145">
                  <c:v>0.0271094112477076</c:v>
                </c:pt>
                <c:pt idx="146">
                  <c:v>0.0271960465564006</c:v>
                </c:pt>
                <c:pt idx="147">
                  <c:v>0.0272840793735644</c:v>
                </c:pt>
                <c:pt idx="148">
                  <c:v>0.0273703489481162</c:v>
                </c:pt>
                <c:pt idx="149">
                  <c:v>0.0274546268629096</c:v>
                </c:pt>
                <c:pt idx="150">
                  <c:v>0.027534915609339</c:v>
                </c:pt>
                <c:pt idx="151">
                  <c:v>0.0276145379478483</c:v>
                </c:pt>
                <c:pt idx="152">
                  <c:v>0.0276914236441044</c:v>
                </c:pt>
                <c:pt idx="153">
                  <c:v>0.0277653008350384</c:v>
                </c:pt>
                <c:pt idx="154">
                  <c:v>0.0278336399438549</c:v>
                </c:pt>
                <c:pt idx="155">
                  <c:v>0.0279007624990566</c:v>
                </c:pt>
                <c:pt idx="156">
                  <c:v>0.0279640055404247</c:v>
                </c:pt>
                <c:pt idx="157">
                  <c:v>0.0280230538776726</c:v>
                </c:pt>
                <c:pt idx="158">
                  <c:v>0.0280758780906918</c:v>
                </c:pt>
                <c:pt idx="159">
                  <c:v>0.0281257116024279</c:v>
                </c:pt>
                <c:pt idx="160">
                  <c:v>0.0281703508327229</c:v>
                </c:pt>
                <c:pt idx="161">
                  <c:v>0.0282094372640724</c:v>
                </c:pt>
                <c:pt idx="162">
                  <c:v>0.0282416173317596</c:v>
                </c:pt>
                <c:pt idx="163">
                  <c:v>0.0282686905610688</c:v>
                </c:pt>
                <c:pt idx="164">
                  <c:v>0.0282890828453025</c:v>
                </c:pt>
                <c:pt idx="165">
                  <c:v>0.0283023923397383</c:v>
                </c:pt>
                <c:pt idx="166">
                  <c:v>0.0283081625423491</c:v>
                </c:pt>
                <c:pt idx="167">
                  <c:v>0.028306233978866</c:v>
                </c:pt>
                <c:pt idx="168">
                  <c:v>0.0282959611305275</c:v>
                </c:pt>
                <c:pt idx="169">
                  <c:v>0.0282768987066887</c:v>
                </c:pt>
                <c:pt idx="170">
                  <c:v>0.0282496642232883</c:v>
                </c:pt>
                <c:pt idx="171">
                  <c:v>0.028211967299704</c:v>
                </c:pt>
                <c:pt idx="172">
                  <c:v>0.0281640951646274</c:v>
                </c:pt>
                <c:pt idx="173">
                  <c:v>0.0281055592001961</c:v>
                </c:pt>
                <c:pt idx="174">
                  <c:v>0.0280383139991837</c:v>
                </c:pt>
                <c:pt idx="175">
                  <c:v>0.0279573296716925</c:v>
                </c:pt>
                <c:pt idx="176">
                  <c:v>0.0278641673100453</c:v>
                </c:pt>
                <c:pt idx="177">
                  <c:v>0.0277582949691617</c:v>
                </c:pt>
                <c:pt idx="178">
                  <c:v>0.0276432690320392</c:v>
                </c:pt>
                <c:pt idx="179">
                  <c:v>0.0275107962780326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B39-4F4C-B1FB-0BC75ED45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497616"/>
        <c:axId val="602444560"/>
      </c:scatterChart>
      <c:valAx>
        <c:axId val="602497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444560"/>
        <c:crosses val="autoZero"/>
        <c:crossBetween val="midCat"/>
      </c:valAx>
      <c:valAx>
        <c:axId val="60244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497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Yield Curve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6712695077926"/>
          <c:y val="0.142902507322554"/>
          <c:w val="0.700188501627743"/>
          <c:h val="0.710180071548962"/>
        </c:manualLayout>
      </c:layout>
      <c:scatterChart>
        <c:scatterStyle val="lineMarker"/>
        <c:varyColors val="0"/>
        <c:ser>
          <c:idx val="0"/>
          <c:order val="0"/>
          <c:tx>
            <c:v>Original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spotCurvep4!$B$3:$B$182</c:f>
              <c:numCache>
                <c:formatCode>0.00</c:formatCode>
                <c:ptCount val="180"/>
                <c:pt idx="0">
                  <c:v>0.520547945205479</c:v>
                </c:pt>
                <c:pt idx="1">
                  <c:v>0.564383561643836</c:v>
                </c:pt>
                <c:pt idx="2">
                  <c:v>0.605479452054794</c:v>
                </c:pt>
                <c:pt idx="3">
                  <c:v>0.646575342465753</c:v>
                </c:pt>
                <c:pt idx="4">
                  <c:v>0.687671232876712</c:v>
                </c:pt>
                <c:pt idx="5">
                  <c:v>0.731506849315068</c:v>
                </c:pt>
                <c:pt idx="6">
                  <c:v>0.772602739726027</c:v>
                </c:pt>
                <c:pt idx="7">
                  <c:v>0.816438356164383</c:v>
                </c:pt>
                <c:pt idx="8">
                  <c:v>0.857534246575342</c:v>
                </c:pt>
                <c:pt idx="9">
                  <c:v>0.898630136986301</c:v>
                </c:pt>
                <c:pt idx="10">
                  <c:v>0.93972602739726</c:v>
                </c:pt>
                <c:pt idx="11">
                  <c:v>0.983561643835616</c:v>
                </c:pt>
                <c:pt idx="12">
                  <c:v>1.024657534246575</c:v>
                </c:pt>
                <c:pt idx="13">
                  <c:v>1.065753424657534</c:v>
                </c:pt>
                <c:pt idx="14">
                  <c:v>1.106849315068493</c:v>
                </c:pt>
                <c:pt idx="15">
                  <c:v>1.15068493150685</c:v>
                </c:pt>
                <c:pt idx="16">
                  <c:v>1.191780821917808</c:v>
                </c:pt>
                <c:pt idx="17">
                  <c:v>1.235616438356164</c:v>
                </c:pt>
                <c:pt idx="18">
                  <c:v>1.276712328767123</c:v>
                </c:pt>
                <c:pt idx="19">
                  <c:v>1.312328767123288</c:v>
                </c:pt>
                <c:pt idx="20">
                  <c:v>1.353424657534247</c:v>
                </c:pt>
                <c:pt idx="21">
                  <c:v>1.397260273972603</c:v>
                </c:pt>
                <c:pt idx="22">
                  <c:v>1.438356164383562</c:v>
                </c:pt>
                <c:pt idx="23">
                  <c:v>1.47945205479452</c:v>
                </c:pt>
                <c:pt idx="24">
                  <c:v>1.52054794520548</c:v>
                </c:pt>
                <c:pt idx="25">
                  <c:v>1.564383561643835</c:v>
                </c:pt>
                <c:pt idx="26">
                  <c:v>1.605479452054794</c:v>
                </c:pt>
                <c:pt idx="27">
                  <c:v>1.646575342465753</c:v>
                </c:pt>
                <c:pt idx="28">
                  <c:v>1.687671232876712</c:v>
                </c:pt>
                <c:pt idx="29">
                  <c:v>1.731506849315068</c:v>
                </c:pt>
                <c:pt idx="30">
                  <c:v>1.772602739726027</c:v>
                </c:pt>
                <c:pt idx="31">
                  <c:v>1.816438356164383</c:v>
                </c:pt>
                <c:pt idx="32">
                  <c:v>1.857534246575342</c:v>
                </c:pt>
                <c:pt idx="33">
                  <c:v>1.898630136986301</c:v>
                </c:pt>
                <c:pt idx="34">
                  <c:v>1.93972602739726</c:v>
                </c:pt>
                <c:pt idx="35">
                  <c:v>1.983561643835616</c:v>
                </c:pt>
                <c:pt idx="36">
                  <c:v>2.024657534246575</c:v>
                </c:pt>
                <c:pt idx="37">
                  <c:v>2.065753424657534</c:v>
                </c:pt>
                <c:pt idx="38">
                  <c:v>2.106849315068493</c:v>
                </c:pt>
                <c:pt idx="39">
                  <c:v>2.150684931506849</c:v>
                </c:pt>
                <c:pt idx="40">
                  <c:v>2.191780821917808</c:v>
                </c:pt>
                <c:pt idx="41">
                  <c:v>2.235616438356165</c:v>
                </c:pt>
                <c:pt idx="42">
                  <c:v>2.276712328767123</c:v>
                </c:pt>
                <c:pt idx="43">
                  <c:v>2.315068493150685</c:v>
                </c:pt>
                <c:pt idx="44">
                  <c:v>2.356164383561644</c:v>
                </c:pt>
                <c:pt idx="45">
                  <c:v>2.4</c:v>
                </c:pt>
                <c:pt idx="46">
                  <c:v>2.482191780821917</c:v>
                </c:pt>
                <c:pt idx="47">
                  <c:v>2.523287671232876</c:v>
                </c:pt>
                <c:pt idx="48">
                  <c:v>2.567123287671232</c:v>
                </c:pt>
                <c:pt idx="49">
                  <c:v>2.608219178082192</c:v>
                </c:pt>
                <c:pt idx="50">
                  <c:v>2.649315068493151</c:v>
                </c:pt>
                <c:pt idx="51">
                  <c:v>2.690410958904109</c:v>
                </c:pt>
                <c:pt idx="52">
                  <c:v>2.734246575342466</c:v>
                </c:pt>
                <c:pt idx="53">
                  <c:v>2.775342465753424</c:v>
                </c:pt>
                <c:pt idx="54">
                  <c:v>2.819178082191781</c:v>
                </c:pt>
                <c:pt idx="55">
                  <c:v>2.860273972602739</c:v>
                </c:pt>
                <c:pt idx="56">
                  <c:v>2.901369863013699</c:v>
                </c:pt>
                <c:pt idx="57">
                  <c:v>2.942465753424658</c:v>
                </c:pt>
                <c:pt idx="58">
                  <c:v>2.986301369863014</c:v>
                </c:pt>
                <c:pt idx="59">
                  <c:v>3.027397260273972</c:v>
                </c:pt>
                <c:pt idx="60">
                  <c:v>3.068493150684931</c:v>
                </c:pt>
                <c:pt idx="61">
                  <c:v>3.153424657534246</c:v>
                </c:pt>
                <c:pt idx="62">
                  <c:v>3.238356164383561</c:v>
                </c:pt>
                <c:pt idx="63">
                  <c:v>3.27945205479452</c:v>
                </c:pt>
                <c:pt idx="64">
                  <c:v>3.315068493150685</c:v>
                </c:pt>
                <c:pt idx="65">
                  <c:v>3.4</c:v>
                </c:pt>
                <c:pt idx="66">
                  <c:v>3.482191780821917</c:v>
                </c:pt>
                <c:pt idx="67">
                  <c:v>3.523287671232876</c:v>
                </c:pt>
                <c:pt idx="68">
                  <c:v>3.567123287671232</c:v>
                </c:pt>
                <c:pt idx="69">
                  <c:v>3.649315068493151</c:v>
                </c:pt>
                <c:pt idx="70">
                  <c:v>3.734246575342466</c:v>
                </c:pt>
                <c:pt idx="71">
                  <c:v>3.775342465753424</c:v>
                </c:pt>
                <c:pt idx="72">
                  <c:v>3.819178082191781</c:v>
                </c:pt>
                <c:pt idx="73">
                  <c:v>3.901369863013699</c:v>
                </c:pt>
                <c:pt idx="74">
                  <c:v>3.986301369863014</c:v>
                </c:pt>
                <c:pt idx="75">
                  <c:v>4.027397260273973</c:v>
                </c:pt>
                <c:pt idx="76">
                  <c:v>4.068493150684931</c:v>
                </c:pt>
                <c:pt idx="77">
                  <c:v>4.153424657534247</c:v>
                </c:pt>
                <c:pt idx="78">
                  <c:v>4.23835616438356</c:v>
                </c:pt>
                <c:pt idx="79">
                  <c:v>4.27945205479452</c:v>
                </c:pt>
                <c:pt idx="80">
                  <c:v>4.315068493150684</c:v>
                </c:pt>
                <c:pt idx="81">
                  <c:v>4.4</c:v>
                </c:pt>
                <c:pt idx="82">
                  <c:v>4.482191780821917</c:v>
                </c:pt>
                <c:pt idx="83">
                  <c:v>4.523287671232877</c:v>
                </c:pt>
                <c:pt idx="84">
                  <c:v>4.567123287671233</c:v>
                </c:pt>
                <c:pt idx="85">
                  <c:v>4.64931506849315</c:v>
                </c:pt>
                <c:pt idx="86">
                  <c:v>4.734246575342465</c:v>
                </c:pt>
                <c:pt idx="87">
                  <c:v>4.775342465753424</c:v>
                </c:pt>
                <c:pt idx="88">
                  <c:v>4.81917808219178</c:v>
                </c:pt>
                <c:pt idx="89">
                  <c:v>4.901369863013698</c:v>
                </c:pt>
                <c:pt idx="90">
                  <c:v>4.986301369863014</c:v>
                </c:pt>
                <c:pt idx="91">
                  <c:v>5.027397260273973</c:v>
                </c:pt>
                <c:pt idx="92">
                  <c:v>5.068493150684931</c:v>
                </c:pt>
                <c:pt idx="93">
                  <c:v>5.153424657534247</c:v>
                </c:pt>
                <c:pt idx="94">
                  <c:v>5.23835616438356</c:v>
                </c:pt>
                <c:pt idx="95">
                  <c:v>5.27945205479452</c:v>
                </c:pt>
                <c:pt idx="96">
                  <c:v>5.315068493150684</c:v>
                </c:pt>
                <c:pt idx="97">
                  <c:v>5.4</c:v>
                </c:pt>
                <c:pt idx="98">
                  <c:v>5.482191780821917</c:v>
                </c:pt>
                <c:pt idx="99">
                  <c:v>5.523287671232877</c:v>
                </c:pt>
                <c:pt idx="100">
                  <c:v>5.567123287671233</c:v>
                </c:pt>
                <c:pt idx="101">
                  <c:v>5.64931506849315</c:v>
                </c:pt>
                <c:pt idx="102">
                  <c:v>5.734246575342465</c:v>
                </c:pt>
                <c:pt idx="103">
                  <c:v>5.775342465753424</c:v>
                </c:pt>
                <c:pt idx="104">
                  <c:v>5.81917808219178</c:v>
                </c:pt>
                <c:pt idx="105">
                  <c:v>5.901369863013698</c:v>
                </c:pt>
                <c:pt idx="106">
                  <c:v>5.986301369863014</c:v>
                </c:pt>
                <c:pt idx="107">
                  <c:v>6.027397260273973</c:v>
                </c:pt>
                <c:pt idx="108">
                  <c:v>6.068493150684931</c:v>
                </c:pt>
                <c:pt idx="109">
                  <c:v>6.153424657534247</c:v>
                </c:pt>
                <c:pt idx="110">
                  <c:v>6.27945205479452</c:v>
                </c:pt>
                <c:pt idx="111">
                  <c:v>6.317808219178082</c:v>
                </c:pt>
                <c:pt idx="112">
                  <c:v>6.402739726027397</c:v>
                </c:pt>
                <c:pt idx="113">
                  <c:v>6.484931506849315</c:v>
                </c:pt>
                <c:pt idx="114">
                  <c:v>6.526027397260274</c:v>
                </c:pt>
                <c:pt idx="115">
                  <c:v>6.56986301369863</c:v>
                </c:pt>
                <c:pt idx="116">
                  <c:v>6.652054794520548</c:v>
                </c:pt>
                <c:pt idx="117">
                  <c:v>6.736986301369863</c:v>
                </c:pt>
                <c:pt idx="118">
                  <c:v>6.77808219178082</c:v>
                </c:pt>
                <c:pt idx="119">
                  <c:v>6.821917808219178</c:v>
                </c:pt>
                <c:pt idx="120">
                  <c:v>6.904109589041096</c:v>
                </c:pt>
                <c:pt idx="121">
                  <c:v>6.98904109589041</c:v>
                </c:pt>
                <c:pt idx="122">
                  <c:v>7.03013698630137</c:v>
                </c:pt>
                <c:pt idx="123">
                  <c:v>7.282191780821917</c:v>
                </c:pt>
                <c:pt idx="124">
                  <c:v>7.526027397260274</c:v>
                </c:pt>
                <c:pt idx="125">
                  <c:v>7.77808219178082</c:v>
                </c:pt>
                <c:pt idx="126">
                  <c:v>8.03013698630137</c:v>
                </c:pt>
                <c:pt idx="127">
                  <c:v>8.282191780821918</c:v>
                </c:pt>
                <c:pt idx="128">
                  <c:v>8.526027397260273</c:v>
                </c:pt>
                <c:pt idx="129">
                  <c:v>8.778082191780822</c:v>
                </c:pt>
                <c:pt idx="130">
                  <c:v>9.03013698630137</c:v>
                </c:pt>
                <c:pt idx="131">
                  <c:v>9.282191780821918</c:v>
                </c:pt>
                <c:pt idx="132">
                  <c:v>9.526027397260273</c:v>
                </c:pt>
                <c:pt idx="133">
                  <c:v>9.778082191780822</c:v>
                </c:pt>
                <c:pt idx="134">
                  <c:v>10.78082191780822</c:v>
                </c:pt>
                <c:pt idx="135">
                  <c:v>11.03287671232877</c:v>
                </c:pt>
                <c:pt idx="136">
                  <c:v>11.28493150684931</c:v>
                </c:pt>
                <c:pt idx="137">
                  <c:v>11.78082191780822</c:v>
                </c:pt>
                <c:pt idx="138">
                  <c:v>12.52876712328767</c:v>
                </c:pt>
                <c:pt idx="139">
                  <c:v>13.28493150684931</c:v>
                </c:pt>
                <c:pt idx="140">
                  <c:v>18.28767123287671</c:v>
                </c:pt>
                <c:pt idx="141">
                  <c:v>19.29041095890411</c:v>
                </c:pt>
                <c:pt idx="142">
                  <c:v>19.53424657534246</c:v>
                </c:pt>
                <c:pt idx="143">
                  <c:v>20.29041095890411</c:v>
                </c:pt>
                <c:pt idx="144">
                  <c:v>20.53424657534246</c:v>
                </c:pt>
                <c:pt idx="145">
                  <c:v>21.29041095890411</c:v>
                </c:pt>
                <c:pt idx="146">
                  <c:v>21.53424657534246</c:v>
                </c:pt>
                <c:pt idx="147">
                  <c:v>21.78630136986301</c:v>
                </c:pt>
                <c:pt idx="148">
                  <c:v>22.03835616438356</c:v>
                </c:pt>
                <c:pt idx="149">
                  <c:v>22.29041095890411</c:v>
                </c:pt>
                <c:pt idx="150">
                  <c:v>22.53698630136986</c:v>
                </c:pt>
                <c:pt idx="151">
                  <c:v>22.78904109589041</c:v>
                </c:pt>
                <c:pt idx="152">
                  <c:v>23.04109589041096</c:v>
                </c:pt>
                <c:pt idx="153">
                  <c:v>23.29315068493151</c:v>
                </c:pt>
                <c:pt idx="154">
                  <c:v>23.53698630136986</c:v>
                </c:pt>
                <c:pt idx="155">
                  <c:v>23.78904109589041</c:v>
                </c:pt>
                <c:pt idx="156">
                  <c:v>24.04109589041096</c:v>
                </c:pt>
                <c:pt idx="157">
                  <c:v>24.29315068493151</c:v>
                </c:pt>
                <c:pt idx="158">
                  <c:v>24.53698630136986</c:v>
                </c:pt>
                <c:pt idx="159">
                  <c:v>24.78904109589041</c:v>
                </c:pt>
                <c:pt idx="160">
                  <c:v>25.04109589041096</c:v>
                </c:pt>
                <c:pt idx="161">
                  <c:v>25.29315068493151</c:v>
                </c:pt>
                <c:pt idx="162">
                  <c:v>25.53698630136986</c:v>
                </c:pt>
                <c:pt idx="163">
                  <c:v>25.78904109589041</c:v>
                </c:pt>
                <c:pt idx="164">
                  <c:v>26.04109589041096</c:v>
                </c:pt>
                <c:pt idx="165">
                  <c:v>26.29315068493151</c:v>
                </c:pt>
                <c:pt idx="166">
                  <c:v>26.53972602739726</c:v>
                </c:pt>
                <c:pt idx="167">
                  <c:v>26.79178082191781</c:v>
                </c:pt>
                <c:pt idx="168">
                  <c:v>27.04383561643836</c:v>
                </c:pt>
                <c:pt idx="169">
                  <c:v>27.2958904109589</c:v>
                </c:pt>
                <c:pt idx="170">
                  <c:v>27.53972602739726</c:v>
                </c:pt>
                <c:pt idx="171">
                  <c:v>27.79178082191781</c:v>
                </c:pt>
                <c:pt idx="172">
                  <c:v>28.04383561643836</c:v>
                </c:pt>
                <c:pt idx="173">
                  <c:v>28.2958904109589</c:v>
                </c:pt>
                <c:pt idx="174">
                  <c:v>28.53972602739726</c:v>
                </c:pt>
                <c:pt idx="175">
                  <c:v>28.79178082191781</c:v>
                </c:pt>
                <c:pt idx="176">
                  <c:v>29.04383561643836</c:v>
                </c:pt>
                <c:pt idx="177">
                  <c:v>29.2958904109589</c:v>
                </c:pt>
                <c:pt idx="178">
                  <c:v>29.53972602739726</c:v>
                </c:pt>
                <c:pt idx="179">
                  <c:v>29.79178082191781</c:v>
                </c:pt>
              </c:numCache>
            </c:numRef>
          </c:xVal>
          <c:yVal>
            <c:numRef>
              <c:f>spotCurvep4!$E$3:$E$182</c:f>
              <c:numCache>
                <c:formatCode>General</c:formatCode>
                <c:ptCount val="180"/>
                <c:pt idx="0">
                  <c:v>0.0127</c:v>
                </c:pt>
                <c:pt idx="1">
                  <c:v>0.01334</c:v>
                </c:pt>
                <c:pt idx="2">
                  <c:v>0.01358</c:v>
                </c:pt>
                <c:pt idx="3">
                  <c:v>0.01364</c:v>
                </c:pt>
                <c:pt idx="4">
                  <c:v>0.014</c:v>
                </c:pt>
                <c:pt idx="5">
                  <c:v>0.01416</c:v>
                </c:pt>
                <c:pt idx="6">
                  <c:v>0.01427</c:v>
                </c:pt>
                <c:pt idx="7">
                  <c:v>0.01446</c:v>
                </c:pt>
                <c:pt idx="8">
                  <c:v>0.0147</c:v>
                </c:pt>
                <c:pt idx="9">
                  <c:v>0.01479</c:v>
                </c:pt>
                <c:pt idx="10">
                  <c:v>0.01488</c:v>
                </c:pt>
                <c:pt idx="11">
                  <c:v>0.01497</c:v>
                </c:pt>
                <c:pt idx="12">
                  <c:v>0.01504</c:v>
                </c:pt>
                <c:pt idx="13">
                  <c:v>0.01504</c:v>
                </c:pt>
                <c:pt idx="14">
                  <c:v>0.01521</c:v>
                </c:pt>
                <c:pt idx="15">
                  <c:v>0.01511</c:v>
                </c:pt>
                <c:pt idx="16">
                  <c:v>0.0151</c:v>
                </c:pt>
                <c:pt idx="17">
                  <c:v>0.01522</c:v>
                </c:pt>
                <c:pt idx="18">
                  <c:v>0.01533</c:v>
                </c:pt>
                <c:pt idx="19">
                  <c:v>0.01528</c:v>
                </c:pt>
                <c:pt idx="20">
                  <c:v>0.01537</c:v>
                </c:pt>
                <c:pt idx="21">
                  <c:v>0.01545</c:v>
                </c:pt>
                <c:pt idx="22">
                  <c:v>0.01553</c:v>
                </c:pt>
                <c:pt idx="23">
                  <c:v>0.0156</c:v>
                </c:pt>
                <c:pt idx="24">
                  <c:v>0.01562</c:v>
                </c:pt>
                <c:pt idx="25">
                  <c:v>0.01551</c:v>
                </c:pt>
                <c:pt idx="26">
                  <c:v>0.01589</c:v>
                </c:pt>
                <c:pt idx="27">
                  <c:v>0.01583</c:v>
                </c:pt>
                <c:pt idx="28">
                  <c:v>0.01577</c:v>
                </c:pt>
                <c:pt idx="29">
                  <c:v>0.01586</c:v>
                </c:pt>
                <c:pt idx="30">
                  <c:v>0.01593</c:v>
                </c:pt>
                <c:pt idx="31">
                  <c:v>0.01609</c:v>
                </c:pt>
                <c:pt idx="32">
                  <c:v>0.01613</c:v>
                </c:pt>
                <c:pt idx="33">
                  <c:v>0.01608</c:v>
                </c:pt>
                <c:pt idx="34">
                  <c:v>0.01612</c:v>
                </c:pt>
                <c:pt idx="35">
                  <c:v>0.01616</c:v>
                </c:pt>
                <c:pt idx="36">
                  <c:v>0.01626</c:v>
                </c:pt>
                <c:pt idx="37">
                  <c:v>0.01629</c:v>
                </c:pt>
                <c:pt idx="38">
                  <c:v>0.01644</c:v>
                </c:pt>
                <c:pt idx="39">
                  <c:v>0.01641</c:v>
                </c:pt>
                <c:pt idx="40">
                  <c:v>0.01656</c:v>
                </c:pt>
                <c:pt idx="41">
                  <c:v>0.01654</c:v>
                </c:pt>
                <c:pt idx="42">
                  <c:v>0.01663</c:v>
                </c:pt>
                <c:pt idx="43">
                  <c:v>0.01664</c:v>
                </c:pt>
                <c:pt idx="44">
                  <c:v>0.01682</c:v>
                </c:pt>
                <c:pt idx="45">
                  <c:v>0.01675</c:v>
                </c:pt>
                <c:pt idx="46">
                  <c:v>0.01689</c:v>
                </c:pt>
                <c:pt idx="47">
                  <c:v>0.01697</c:v>
                </c:pt>
                <c:pt idx="48">
                  <c:v>0.01694</c:v>
                </c:pt>
                <c:pt idx="49">
                  <c:v>0.01703</c:v>
                </c:pt>
                <c:pt idx="50">
                  <c:v>0.01713</c:v>
                </c:pt>
                <c:pt idx="51">
                  <c:v>0.01715</c:v>
                </c:pt>
                <c:pt idx="52">
                  <c:v>0.01722</c:v>
                </c:pt>
                <c:pt idx="53">
                  <c:v>0.01717</c:v>
                </c:pt>
                <c:pt idx="54">
                  <c:v>0.01729</c:v>
                </c:pt>
                <c:pt idx="55">
                  <c:v>0.01721</c:v>
                </c:pt>
                <c:pt idx="56">
                  <c:v>0.01741</c:v>
                </c:pt>
                <c:pt idx="57">
                  <c:v>0.01729</c:v>
                </c:pt>
                <c:pt idx="58">
                  <c:v>0.0175</c:v>
                </c:pt>
                <c:pt idx="59">
                  <c:v>0.01762</c:v>
                </c:pt>
                <c:pt idx="60">
                  <c:v>0.01772</c:v>
                </c:pt>
                <c:pt idx="61">
                  <c:v>0.01786</c:v>
                </c:pt>
                <c:pt idx="62">
                  <c:v>0.01799</c:v>
                </c:pt>
                <c:pt idx="63">
                  <c:v>0.01782</c:v>
                </c:pt>
                <c:pt idx="64">
                  <c:v>0.0181</c:v>
                </c:pt>
                <c:pt idx="65">
                  <c:v>0.01821</c:v>
                </c:pt>
                <c:pt idx="66">
                  <c:v>0.01826</c:v>
                </c:pt>
                <c:pt idx="67">
                  <c:v>0.0181</c:v>
                </c:pt>
                <c:pt idx="68">
                  <c:v>0.01839</c:v>
                </c:pt>
                <c:pt idx="69">
                  <c:v>0.01852</c:v>
                </c:pt>
                <c:pt idx="70">
                  <c:v>0.01865</c:v>
                </c:pt>
                <c:pt idx="71">
                  <c:v>0.01864</c:v>
                </c:pt>
                <c:pt idx="72">
                  <c:v>0.01877</c:v>
                </c:pt>
                <c:pt idx="73">
                  <c:v>0.01885</c:v>
                </c:pt>
                <c:pt idx="74">
                  <c:v>0.0189</c:v>
                </c:pt>
                <c:pt idx="75">
                  <c:v>0.01881</c:v>
                </c:pt>
                <c:pt idx="76">
                  <c:v>0.01904</c:v>
                </c:pt>
                <c:pt idx="77">
                  <c:v>0.01917</c:v>
                </c:pt>
                <c:pt idx="78">
                  <c:v>0.01926</c:v>
                </c:pt>
                <c:pt idx="79">
                  <c:v>0.01916</c:v>
                </c:pt>
                <c:pt idx="80">
                  <c:v>0.01938</c:v>
                </c:pt>
                <c:pt idx="81">
                  <c:v>0.01951</c:v>
                </c:pt>
                <c:pt idx="82">
                  <c:v>0.0196</c:v>
                </c:pt>
                <c:pt idx="83">
                  <c:v>0.01946</c:v>
                </c:pt>
                <c:pt idx="84">
                  <c:v>0.01966</c:v>
                </c:pt>
                <c:pt idx="85">
                  <c:v>0.01978</c:v>
                </c:pt>
                <c:pt idx="86">
                  <c:v>0.01989</c:v>
                </c:pt>
                <c:pt idx="87">
                  <c:v>0.01969</c:v>
                </c:pt>
                <c:pt idx="88">
                  <c:v>0.01992</c:v>
                </c:pt>
                <c:pt idx="89">
                  <c:v>0.02011</c:v>
                </c:pt>
                <c:pt idx="90">
                  <c:v>0.02012</c:v>
                </c:pt>
                <c:pt idx="91">
                  <c:v>0.02011</c:v>
                </c:pt>
                <c:pt idx="92">
                  <c:v>0.02021</c:v>
                </c:pt>
                <c:pt idx="93">
                  <c:v>0.02033</c:v>
                </c:pt>
                <c:pt idx="94">
                  <c:v>0.02047</c:v>
                </c:pt>
                <c:pt idx="95">
                  <c:v>0.02048</c:v>
                </c:pt>
                <c:pt idx="96">
                  <c:v>0.02052</c:v>
                </c:pt>
                <c:pt idx="97">
                  <c:v>0.02062</c:v>
                </c:pt>
                <c:pt idx="98">
                  <c:v>0.02067</c:v>
                </c:pt>
                <c:pt idx="99">
                  <c:v>0.02075</c:v>
                </c:pt>
                <c:pt idx="100">
                  <c:v>0.02078</c:v>
                </c:pt>
                <c:pt idx="101">
                  <c:v>0.02086</c:v>
                </c:pt>
                <c:pt idx="102">
                  <c:v>0.02093</c:v>
                </c:pt>
                <c:pt idx="103">
                  <c:v>0.02081</c:v>
                </c:pt>
                <c:pt idx="104">
                  <c:v>0.02099</c:v>
                </c:pt>
                <c:pt idx="105">
                  <c:v>0.02107</c:v>
                </c:pt>
                <c:pt idx="106">
                  <c:v>0.02105</c:v>
                </c:pt>
                <c:pt idx="107">
                  <c:v>0.02103</c:v>
                </c:pt>
                <c:pt idx="108">
                  <c:v>0.02108</c:v>
                </c:pt>
                <c:pt idx="109">
                  <c:v>0.02126</c:v>
                </c:pt>
                <c:pt idx="110">
                  <c:v>0.02137</c:v>
                </c:pt>
                <c:pt idx="111">
                  <c:v>0.02146</c:v>
                </c:pt>
                <c:pt idx="112">
                  <c:v>0.02154</c:v>
                </c:pt>
                <c:pt idx="113">
                  <c:v>0.02158</c:v>
                </c:pt>
                <c:pt idx="114">
                  <c:v>0.02161</c:v>
                </c:pt>
                <c:pt idx="115">
                  <c:v>0.02168</c:v>
                </c:pt>
                <c:pt idx="116">
                  <c:v>0.02174</c:v>
                </c:pt>
                <c:pt idx="117">
                  <c:v>0.02179</c:v>
                </c:pt>
                <c:pt idx="118">
                  <c:v>0.02182</c:v>
                </c:pt>
                <c:pt idx="119">
                  <c:v>0.02184</c:v>
                </c:pt>
                <c:pt idx="120">
                  <c:v>0.0219</c:v>
                </c:pt>
                <c:pt idx="121">
                  <c:v>0.02195</c:v>
                </c:pt>
                <c:pt idx="122">
                  <c:v>0.02199</c:v>
                </c:pt>
                <c:pt idx="123">
                  <c:v>0.02222</c:v>
                </c:pt>
                <c:pt idx="124">
                  <c:v>0.02234</c:v>
                </c:pt>
                <c:pt idx="125">
                  <c:v>0.02254</c:v>
                </c:pt>
                <c:pt idx="126">
                  <c:v>0.02267</c:v>
                </c:pt>
                <c:pt idx="127">
                  <c:v>0.02287</c:v>
                </c:pt>
                <c:pt idx="128">
                  <c:v>0.023</c:v>
                </c:pt>
                <c:pt idx="129">
                  <c:v>0.02311</c:v>
                </c:pt>
                <c:pt idx="130">
                  <c:v>0.02318</c:v>
                </c:pt>
                <c:pt idx="131">
                  <c:v>0.0233</c:v>
                </c:pt>
                <c:pt idx="132">
                  <c:v>0.02334</c:v>
                </c:pt>
                <c:pt idx="133">
                  <c:v>0.02341</c:v>
                </c:pt>
                <c:pt idx="134">
                  <c:v>0.02333</c:v>
                </c:pt>
                <c:pt idx="135">
                  <c:v>0.02337</c:v>
                </c:pt>
                <c:pt idx="136">
                  <c:v>0.02346</c:v>
                </c:pt>
                <c:pt idx="137">
                  <c:v>0.02352</c:v>
                </c:pt>
                <c:pt idx="138">
                  <c:v>0.02374</c:v>
                </c:pt>
                <c:pt idx="139">
                  <c:v>0.02385</c:v>
                </c:pt>
                <c:pt idx="140">
                  <c:v>0.02507</c:v>
                </c:pt>
                <c:pt idx="141">
                  <c:v>0.02551</c:v>
                </c:pt>
                <c:pt idx="142">
                  <c:v>0.02563</c:v>
                </c:pt>
                <c:pt idx="143">
                  <c:v>0.02607</c:v>
                </c:pt>
                <c:pt idx="144">
                  <c:v>0.02614</c:v>
                </c:pt>
                <c:pt idx="145">
                  <c:v>0.02656</c:v>
                </c:pt>
                <c:pt idx="146">
                  <c:v>0.02663</c:v>
                </c:pt>
                <c:pt idx="147">
                  <c:v>0.02669</c:v>
                </c:pt>
                <c:pt idx="148">
                  <c:v>0.02681</c:v>
                </c:pt>
                <c:pt idx="149">
                  <c:v>0.02683</c:v>
                </c:pt>
                <c:pt idx="150">
                  <c:v>0.02695</c:v>
                </c:pt>
                <c:pt idx="151">
                  <c:v>0.02711</c:v>
                </c:pt>
                <c:pt idx="152">
                  <c:v>0.0271</c:v>
                </c:pt>
                <c:pt idx="153">
                  <c:v>0.02706</c:v>
                </c:pt>
                <c:pt idx="154">
                  <c:v>0.02718</c:v>
                </c:pt>
                <c:pt idx="155">
                  <c:v>0.02732</c:v>
                </c:pt>
                <c:pt idx="156">
                  <c:v>0.0275</c:v>
                </c:pt>
                <c:pt idx="157">
                  <c:v>0.02755</c:v>
                </c:pt>
                <c:pt idx="158">
                  <c:v>0.02759</c:v>
                </c:pt>
                <c:pt idx="159">
                  <c:v>0.02771</c:v>
                </c:pt>
                <c:pt idx="160">
                  <c:v>0.0278</c:v>
                </c:pt>
                <c:pt idx="161">
                  <c:v>0.02778</c:v>
                </c:pt>
                <c:pt idx="162">
                  <c:v>0.02785</c:v>
                </c:pt>
                <c:pt idx="163">
                  <c:v>0.02776</c:v>
                </c:pt>
                <c:pt idx="164">
                  <c:v>0.02774</c:v>
                </c:pt>
                <c:pt idx="165">
                  <c:v>0.02778</c:v>
                </c:pt>
                <c:pt idx="166">
                  <c:v>0.02784</c:v>
                </c:pt>
                <c:pt idx="167">
                  <c:v>0.0279</c:v>
                </c:pt>
                <c:pt idx="168">
                  <c:v>0.02794</c:v>
                </c:pt>
                <c:pt idx="169">
                  <c:v>0.02811</c:v>
                </c:pt>
                <c:pt idx="170">
                  <c:v>0.02802</c:v>
                </c:pt>
                <c:pt idx="171">
                  <c:v>0.02808</c:v>
                </c:pt>
                <c:pt idx="172">
                  <c:v>0.02809</c:v>
                </c:pt>
                <c:pt idx="173">
                  <c:v>0.0282</c:v>
                </c:pt>
                <c:pt idx="174">
                  <c:v>0.0282</c:v>
                </c:pt>
                <c:pt idx="175">
                  <c:v>0.02824</c:v>
                </c:pt>
                <c:pt idx="176">
                  <c:v>0.02815</c:v>
                </c:pt>
                <c:pt idx="177">
                  <c:v>0.02814</c:v>
                </c:pt>
                <c:pt idx="178">
                  <c:v>0.02815</c:v>
                </c:pt>
                <c:pt idx="179">
                  <c:v>0.02819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9E2-4440-BC9D-7F1AECC1D22A}"/>
            </c:ext>
          </c:extLst>
        </c:ser>
        <c:ser>
          <c:idx val="1"/>
          <c:order val="1"/>
          <c:tx>
            <c:v>Fitted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spotCurvep4!$B$3:$B$182</c:f>
              <c:numCache>
                <c:formatCode>0.00</c:formatCode>
                <c:ptCount val="180"/>
                <c:pt idx="0">
                  <c:v>0.520547945205479</c:v>
                </c:pt>
                <c:pt idx="1">
                  <c:v>0.564383561643836</c:v>
                </c:pt>
                <c:pt idx="2">
                  <c:v>0.605479452054794</c:v>
                </c:pt>
                <c:pt idx="3">
                  <c:v>0.646575342465753</c:v>
                </c:pt>
                <c:pt idx="4">
                  <c:v>0.687671232876712</c:v>
                </c:pt>
                <c:pt idx="5">
                  <c:v>0.731506849315068</c:v>
                </c:pt>
                <c:pt idx="6">
                  <c:v>0.772602739726027</c:v>
                </c:pt>
                <c:pt idx="7">
                  <c:v>0.816438356164383</c:v>
                </c:pt>
                <c:pt idx="8">
                  <c:v>0.857534246575342</c:v>
                </c:pt>
                <c:pt idx="9">
                  <c:v>0.898630136986301</c:v>
                </c:pt>
                <c:pt idx="10">
                  <c:v>0.93972602739726</c:v>
                </c:pt>
                <c:pt idx="11">
                  <c:v>0.983561643835616</c:v>
                </c:pt>
                <c:pt idx="12">
                  <c:v>1.024657534246575</c:v>
                </c:pt>
                <c:pt idx="13">
                  <c:v>1.065753424657534</c:v>
                </c:pt>
                <c:pt idx="14">
                  <c:v>1.106849315068493</c:v>
                </c:pt>
                <c:pt idx="15">
                  <c:v>1.15068493150685</c:v>
                </c:pt>
                <c:pt idx="16">
                  <c:v>1.191780821917808</c:v>
                </c:pt>
                <c:pt idx="17">
                  <c:v>1.235616438356164</c:v>
                </c:pt>
                <c:pt idx="18">
                  <c:v>1.276712328767123</c:v>
                </c:pt>
                <c:pt idx="19">
                  <c:v>1.312328767123288</c:v>
                </c:pt>
                <c:pt idx="20">
                  <c:v>1.353424657534247</c:v>
                </c:pt>
                <c:pt idx="21">
                  <c:v>1.397260273972603</c:v>
                </c:pt>
                <c:pt idx="22">
                  <c:v>1.438356164383562</c:v>
                </c:pt>
                <c:pt idx="23">
                  <c:v>1.47945205479452</c:v>
                </c:pt>
                <c:pt idx="24">
                  <c:v>1.52054794520548</c:v>
                </c:pt>
                <c:pt idx="25">
                  <c:v>1.564383561643835</c:v>
                </c:pt>
                <c:pt idx="26">
                  <c:v>1.605479452054794</c:v>
                </c:pt>
                <c:pt idx="27">
                  <c:v>1.646575342465753</c:v>
                </c:pt>
                <c:pt idx="28">
                  <c:v>1.687671232876712</c:v>
                </c:pt>
                <c:pt idx="29">
                  <c:v>1.731506849315068</c:v>
                </c:pt>
                <c:pt idx="30">
                  <c:v>1.772602739726027</c:v>
                </c:pt>
                <c:pt idx="31">
                  <c:v>1.816438356164383</c:v>
                </c:pt>
                <c:pt idx="32">
                  <c:v>1.857534246575342</c:v>
                </c:pt>
                <c:pt idx="33">
                  <c:v>1.898630136986301</c:v>
                </c:pt>
                <c:pt idx="34">
                  <c:v>1.93972602739726</c:v>
                </c:pt>
                <c:pt idx="35">
                  <c:v>1.983561643835616</c:v>
                </c:pt>
                <c:pt idx="36">
                  <c:v>2.024657534246575</c:v>
                </c:pt>
                <c:pt idx="37">
                  <c:v>2.065753424657534</c:v>
                </c:pt>
                <c:pt idx="38">
                  <c:v>2.106849315068493</c:v>
                </c:pt>
                <c:pt idx="39">
                  <c:v>2.150684931506849</c:v>
                </c:pt>
                <c:pt idx="40">
                  <c:v>2.191780821917808</c:v>
                </c:pt>
                <c:pt idx="41">
                  <c:v>2.235616438356165</c:v>
                </c:pt>
                <c:pt idx="42">
                  <c:v>2.276712328767123</c:v>
                </c:pt>
                <c:pt idx="43">
                  <c:v>2.315068493150685</c:v>
                </c:pt>
                <c:pt idx="44">
                  <c:v>2.356164383561644</c:v>
                </c:pt>
                <c:pt idx="45">
                  <c:v>2.4</c:v>
                </c:pt>
                <c:pt idx="46">
                  <c:v>2.482191780821917</c:v>
                </c:pt>
                <c:pt idx="47">
                  <c:v>2.523287671232876</c:v>
                </c:pt>
                <c:pt idx="48">
                  <c:v>2.567123287671232</c:v>
                </c:pt>
                <c:pt idx="49">
                  <c:v>2.608219178082192</c:v>
                </c:pt>
                <c:pt idx="50">
                  <c:v>2.649315068493151</c:v>
                </c:pt>
                <c:pt idx="51">
                  <c:v>2.690410958904109</c:v>
                </c:pt>
                <c:pt idx="52">
                  <c:v>2.734246575342466</c:v>
                </c:pt>
                <c:pt idx="53">
                  <c:v>2.775342465753424</c:v>
                </c:pt>
                <c:pt idx="54">
                  <c:v>2.819178082191781</c:v>
                </c:pt>
                <c:pt idx="55">
                  <c:v>2.860273972602739</c:v>
                </c:pt>
                <c:pt idx="56">
                  <c:v>2.901369863013699</c:v>
                </c:pt>
                <c:pt idx="57">
                  <c:v>2.942465753424658</c:v>
                </c:pt>
                <c:pt idx="58">
                  <c:v>2.986301369863014</c:v>
                </c:pt>
                <c:pt idx="59">
                  <c:v>3.027397260273972</c:v>
                </c:pt>
                <c:pt idx="60">
                  <c:v>3.068493150684931</c:v>
                </c:pt>
                <c:pt idx="61">
                  <c:v>3.153424657534246</c:v>
                </c:pt>
                <c:pt idx="62">
                  <c:v>3.238356164383561</c:v>
                </c:pt>
                <c:pt idx="63">
                  <c:v>3.27945205479452</c:v>
                </c:pt>
                <c:pt idx="64">
                  <c:v>3.315068493150685</c:v>
                </c:pt>
                <c:pt idx="65">
                  <c:v>3.4</c:v>
                </c:pt>
                <c:pt idx="66">
                  <c:v>3.482191780821917</c:v>
                </c:pt>
                <c:pt idx="67">
                  <c:v>3.523287671232876</c:v>
                </c:pt>
                <c:pt idx="68">
                  <c:v>3.567123287671232</c:v>
                </c:pt>
                <c:pt idx="69">
                  <c:v>3.649315068493151</c:v>
                </c:pt>
                <c:pt idx="70">
                  <c:v>3.734246575342466</c:v>
                </c:pt>
                <c:pt idx="71">
                  <c:v>3.775342465753424</c:v>
                </c:pt>
                <c:pt idx="72">
                  <c:v>3.819178082191781</c:v>
                </c:pt>
                <c:pt idx="73">
                  <c:v>3.901369863013699</c:v>
                </c:pt>
                <c:pt idx="74">
                  <c:v>3.986301369863014</c:v>
                </c:pt>
                <c:pt idx="75">
                  <c:v>4.027397260273973</c:v>
                </c:pt>
                <c:pt idx="76">
                  <c:v>4.068493150684931</c:v>
                </c:pt>
                <c:pt idx="77">
                  <c:v>4.153424657534247</c:v>
                </c:pt>
                <c:pt idx="78">
                  <c:v>4.23835616438356</c:v>
                </c:pt>
                <c:pt idx="79">
                  <c:v>4.27945205479452</c:v>
                </c:pt>
                <c:pt idx="80">
                  <c:v>4.315068493150684</c:v>
                </c:pt>
                <c:pt idx="81">
                  <c:v>4.4</c:v>
                </c:pt>
                <c:pt idx="82">
                  <c:v>4.482191780821917</c:v>
                </c:pt>
                <c:pt idx="83">
                  <c:v>4.523287671232877</c:v>
                </c:pt>
                <c:pt idx="84">
                  <c:v>4.567123287671233</c:v>
                </c:pt>
                <c:pt idx="85">
                  <c:v>4.64931506849315</c:v>
                </c:pt>
                <c:pt idx="86">
                  <c:v>4.734246575342465</c:v>
                </c:pt>
                <c:pt idx="87">
                  <c:v>4.775342465753424</c:v>
                </c:pt>
                <c:pt idx="88">
                  <c:v>4.81917808219178</c:v>
                </c:pt>
                <c:pt idx="89">
                  <c:v>4.901369863013698</c:v>
                </c:pt>
                <c:pt idx="90">
                  <c:v>4.986301369863014</c:v>
                </c:pt>
                <c:pt idx="91">
                  <c:v>5.027397260273973</c:v>
                </c:pt>
                <c:pt idx="92">
                  <c:v>5.068493150684931</c:v>
                </c:pt>
                <c:pt idx="93">
                  <c:v>5.153424657534247</c:v>
                </c:pt>
                <c:pt idx="94">
                  <c:v>5.23835616438356</c:v>
                </c:pt>
                <c:pt idx="95">
                  <c:v>5.27945205479452</c:v>
                </c:pt>
                <c:pt idx="96">
                  <c:v>5.315068493150684</c:v>
                </c:pt>
                <c:pt idx="97">
                  <c:v>5.4</c:v>
                </c:pt>
                <c:pt idx="98">
                  <c:v>5.482191780821917</c:v>
                </c:pt>
                <c:pt idx="99">
                  <c:v>5.523287671232877</c:v>
                </c:pt>
                <c:pt idx="100">
                  <c:v>5.567123287671233</c:v>
                </c:pt>
                <c:pt idx="101">
                  <c:v>5.64931506849315</c:v>
                </c:pt>
                <c:pt idx="102">
                  <c:v>5.734246575342465</c:v>
                </c:pt>
                <c:pt idx="103">
                  <c:v>5.775342465753424</c:v>
                </c:pt>
                <c:pt idx="104">
                  <c:v>5.81917808219178</c:v>
                </c:pt>
                <c:pt idx="105">
                  <c:v>5.901369863013698</c:v>
                </c:pt>
                <c:pt idx="106">
                  <c:v>5.986301369863014</c:v>
                </c:pt>
                <c:pt idx="107">
                  <c:v>6.027397260273973</c:v>
                </c:pt>
                <c:pt idx="108">
                  <c:v>6.068493150684931</c:v>
                </c:pt>
                <c:pt idx="109">
                  <c:v>6.153424657534247</c:v>
                </c:pt>
                <c:pt idx="110">
                  <c:v>6.27945205479452</c:v>
                </c:pt>
                <c:pt idx="111">
                  <c:v>6.317808219178082</c:v>
                </c:pt>
                <c:pt idx="112">
                  <c:v>6.402739726027397</c:v>
                </c:pt>
                <c:pt idx="113">
                  <c:v>6.484931506849315</c:v>
                </c:pt>
                <c:pt idx="114">
                  <c:v>6.526027397260274</c:v>
                </c:pt>
                <c:pt idx="115">
                  <c:v>6.56986301369863</c:v>
                </c:pt>
                <c:pt idx="116">
                  <c:v>6.652054794520548</c:v>
                </c:pt>
                <c:pt idx="117">
                  <c:v>6.736986301369863</c:v>
                </c:pt>
                <c:pt idx="118">
                  <c:v>6.77808219178082</c:v>
                </c:pt>
                <c:pt idx="119">
                  <c:v>6.821917808219178</c:v>
                </c:pt>
                <c:pt idx="120">
                  <c:v>6.904109589041096</c:v>
                </c:pt>
                <c:pt idx="121">
                  <c:v>6.98904109589041</c:v>
                </c:pt>
                <c:pt idx="122">
                  <c:v>7.03013698630137</c:v>
                </c:pt>
                <c:pt idx="123">
                  <c:v>7.282191780821917</c:v>
                </c:pt>
                <c:pt idx="124">
                  <c:v>7.526027397260274</c:v>
                </c:pt>
                <c:pt idx="125">
                  <c:v>7.77808219178082</c:v>
                </c:pt>
                <c:pt idx="126">
                  <c:v>8.03013698630137</c:v>
                </c:pt>
                <c:pt idx="127">
                  <c:v>8.282191780821918</c:v>
                </c:pt>
                <c:pt idx="128">
                  <c:v>8.526027397260273</c:v>
                </c:pt>
                <c:pt idx="129">
                  <c:v>8.778082191780822</c:v>
                </c:pt>
                <c:pt idx="130">
                  <c:v>9.03013698630137</c:v>
                </c:pt>
                <c:pt idx="131">
                  <c:v>9.282191780821918</c:v>
                </c:pt>
                <c:pt idx="132">
                  <c:v>9.526027397260273</c:v>
                </c:pt>
                <c:pt idx="133">
                  <c:v>9.778082191780822</c:v>
                </c:pt>
                <c:pt idx="134">
                  <c:v>10.78082191780822</c:v>
                </c:pt>
                <c:pt idx="135">
                  <c:v>11.03287671232877</c:v>
                </c:pt>
                <c:pt idx="136">
                  <c:v>11.28493150684931</c:v>
                </c:pt>
                <c:pt idx="137">
                  <c:v>11.78082191780822</c:v>
                </c:pt>
                <c:pt idx="138">
                  <c:v>12.52876712328767</c:v>
                </c:pt>
                <c:pt idx="139">
                  <c:v>13.28493150684931</c:v>
                </c:pt>
                <c:pt idx="140">
                  <c:v>18.28767123287671</c:v>
                </c:pt>
                <c:pt idx="141">
                  <c:v>19.29041095890411</c:v>
                </c:pt>
                <c:pt idx="142">
                  <c:v>19.53424657534246</c:v>
                </c:pt>
                <c:pt idx="143">
                  <c:v>20.29041095890411</c:v>
                </c:pt>
                <c:pt idx="144">
                  <c:v>20.53424657534246</c:v>
                </c:pt>
                <c:pt idx="145">
                  <c:v>21.29041095890411</c:v>
                </c:pt>
                <c:pt idx="146">
                  <c:v>21.53424657534246</c:v>
                </c:pt>
                <c:pt idx="147">
                  <c:v>21.78630136986301</c:v>
                </c:pt>
                <c:pt idx="148">
                  <c:v>22.03835616438356</c:v>
                </c:pt>
                <c:pt idx="149">
                  <c:v>22.29041095890411</c:v>
                </c:pt>
                <c:pt idx="150">
                  <c:v>22.53698630136986</c:v>
                </c:pt>
                <c:pt idx="151">
                  <c:v>22.78904109589041</c:v>
                </c:pt>
                <c:pt idx="152">
                  <c:v>23.04109589041096</c:v>
                </c:pt>
                <c:pt idx="153">
                  <c:v>23.29315068493151</c:v>
                </c:pt>
                <c:pt idx="154">
                  <c:v>23.53698630136986</c:v>
                </c:pt>
                <c:pt idx="155">
                  <c:v>23.78904109589041</c:v>
                </c:pt>
                <c:pt idx="156">
                  <c:v>24.04109589041096</c:v>
                </c:pt>
                <c:pt idx="157">
                  <c:v>24.29315068493151</c:v>
                </c:pt>
                <c:pt idx="158">
                  <c:v>24.53698630136986</c:v>
                </c:pt>
                <c:pt idx="159">
                  <c:v>24.78904109589041</c:v>
                </c:pt>
                <c:pt idx="160">
                  <c:v>25.04109589041096</c:v>
                </c:pt>
                <c:pt idx="161">
                  <c:v>25.29315068493151</c:v>
                </c:pt>
                <c:pt idx="162">
                  <c:v>25.53698630136986</c:v>
                </c:pt>
                <c:pt idx="163">
                  <c:v>25.78904109589041</c:v>
                </c:pt>
                <c:pt idx="164">
                  <c:v>26.04109589041096</c:v>
                </c:pt>
                <c:pt idx="165">
                  <c:v>26.29315068493151</c:v>
                </c:pt>
                <c:pt idx="166">
                  <c:v>26.53972602739726</c:v>
                </c:pt>
                <c:pt idx="167">
                  <c:v>26.79178082191781</c:v>
                </c:pt>
                <c:pt idx="168">
                  <c:v>27.04383561643836</c:v>
                </c:pt>
                <c:pt idx="169">
                  <c:v>27.2958904109589</c:v>
                </c:pt>
                <c:pt idx="170">
                  <c:v>27.53972602739726</c:v>
                </c:pt>
                <c:pt idx="171">
                  <c:v>27.79178082191781</c:v>
                </c:pt>
                <c:pt idx="172">
                  <c:v>28.04383561643836</c:v>
                </c:pt>
                <c:pt idx="173">
                  <c:v>28.2958904109589</c:v>
                </c:pt>
                <c:pt idx="174">
                  <c:v>28.53972602739726</c:v>
                </c:pt>
                <c:pt idx="175">
                  <c:v>28.79178082191781</c:v>
                </c:pt>
                <c:pt idx="176">
                  <c:v>29.04383561643836</c:v>
                </c:pt>
                <c:pt idx="177">
                  <c:v>29.2958904109589</c:v>
                </c:pt>
                <c:pt idx="178">
                  <c:v>29.53972602739726</c:v>
                </c:pt>
                <c:pt idx="179">
                  <c:v>29.79178082191781</c:v>
                </c:pt>
              </c:numCache>
            </c:numRef>
          </c:xVal>
          <c:yVal>
            <c:numRef>
              <c:f>spotCurvep4!$K$3:$K$182</c:f>
              <c:numCache>
                <c:formatCode>General</c:formatCode>
                <c:ptCount val="180"/>
                <c:pt idx="0">
                  <c:v>0.0128607346127838</c:v>
                </c:pt>
                <c:pt idx="1">
                  <c:v>0.0130231386364433</c:v>
                </c:pt>
                <c:pt idx="2">
                  <c:v>0.0131137347109627</c:v>
                </c:pt>
                <c:pt idx="3">
                  <c:v>0.0131650483977539</c:v>
                </c:pt>
                <c:pt idx="4">
                  <c:v>0.0132600134273712</c:v>
                </c:pt>
                <c:pt idx="5">
                  <c:v>0.0133600861438155</c:v>
                </c:pt>
                <c:pt idx="6">
                  <c:v>0.013451925189576</c:v>
                </c:pt>
                <c:pt idx="7">
                  <c:v>0.013599311990994</c:v>
                </c:pt>
                <c:pt idx="8">
                  <c:v>0.0136755422721136</c:v>
                </c:pt>
                <c:pt idx="9">
                  <c:v>0.0137445079365207</c:v>
                </c:pt>
                <c:pt idx="10">
                  <c:v>0.0138246594203431</c:v>
                </c:pt>
                <c:pt idx="11">
                  <c:v>0.0139115059615532</c:v>
                </c:pt>
                <c:pt idx="12">
                  <c:v>0.0139917689780711</c:v>
                </c:pt>
                <c:pt idx="13">
                  <c:v>0.0140725876787469</c:v>
                </c:pt>
                <c:pt idx="14">
                  <c:v>0.0141527350896713</c:v>
                </c:pt>
                <c:pt idx="15">
                  <c:v>0.0142485198047476</c:v>
                </c:pt>
                <c:pt idx="16">
                  <c:v>0.0143313411893833</c:v>
                </c:pt>
                <c:pt idx="17">
                  <c:v>0.0144183377204458</c:v>
                </c:pt>
                <c:pt idx="18">
                  <c:v>0.0145011800177295</c:v>
                </c:pt>
                <c:pt idx="19">
                  <c:v>0.0145118126696081</c:v>
                </c:pt>
                <c:pt idx="20">
                  <c:v>0.014586229282139</c:v>
                </c:pt>
                <c:pt idx="21">
                  <c:v>0.0146861644817066</c:v>
                </c:pt>
                <c:pt idx="22">
                  <c:v>0.0147631925639002</c:v>
                </c:pt>
                <c:pt idx="23">
                  <c:v>0.0148085386644127</c:v>
                </c:pt>
                <c:pt idx="24">
                  <c:v>0.0148869227564884</c:v>
                </c:pt>
                <c:pt idx="25">
                  <c:v>0.01499084898156</c:v>
                </c:pt>
                <c:pt idx="26">
                  <c:v>0.015067339623043</c:v>
                </c:pt>
                <c:pt idx="27">
                  <c:v>0.0151228785394403</c:v>
                </c:pt>
                <c:pt idx="28">
                  <c:v>0.0152009718045311</c:v>
                </c:pt>
                <c:pt idx="29">
                  <c:v>0.0152802771156088</c:v>
                </c:pt>
                <c:pt idx="30">
                  <c:v>0.0153561921127922</c:v>
                </c:pt>
                <c:pt idx="31">
                  <c:v>0.0154581502545483</c:v>
                </c:pt>
                <c:pt idx="32">
                  <c:v>0.0155267951752517</c:v>
                </c:pt>
                <c:pt idx="33">
                  <c:v>0.0155879958634104</c:v>
                </c:pt>
                <c:pt idx="34">
                  <c:v>0.015656542531076</c:v>
                </c:pt>
                <c:pt idx="35">
                  <c:v>0.0157268242180141</c:v>
                </c:pt>
                <c:pt idx="36">
                  <c:v>0.0157985119510712</c:v>
                </c:pt>
                <c:pt idx="37">
                  <c:v>0.0158662427803502</c:v>
                </c:pt>
                <c:pt idx="38">
                  <c:v>0.0159295059968262</c:v>
                </c:pt>
                <c:pt idx="39">
                  <c:v>0.0160107546881887</c:v>
                </c:pt>
                <c:pt idx="40">
                  <c:v>0.0160758992781908</c:v>
                </c:pt>
                <c:pt idx="41">
                  <c:v>0.0161502976475782</c:v>
                </c:pt>
                <c:pt idx="42">
                  <c:v>0.0162160153354742</c:v>
                </c:pt>
                <c:pt idx="43">
                  <c:v>0.0162635117786792</c:v>
                </c:pt>
                <c:pt idx="44">
                  <c:v>0.0163197511711018</c:v>
                </c:pt>
                <c:pt idx="45">
                  <c:v>0.0164085902631415</c:v>
                </c:pt>
                <c:pt idx="46">
                  <c:v>0.0165160148819427</c:v>
                </c:pt>
                <c:pt idx="47">
                  <c:v>0.0165726236228116</c:v>
                </c:pt>
                <c:pt idx="48">
                  <c:v>0.0166585614996709</c:v>
                </c:pt>
                <c:pt idx="49">
                  <c:v>0.0167182632698925</c:v>
                </c:pt>
                <c:pt idx="50">
                  <c:v>0.0167653691600462</c:v>
                </c:pt>
                <c:pt idx="51">
                  <c:v>0.0168304862673448</c:v>
                </c:pt>
                <c:pt idx="52">
                  <c:v>0.0168943980830811</c:v>
                </c:pt>
                <c:pt idx="53">
                  <c:v>0.0169587453831144</c:v>
                </c:pt>
                <c:pt idx="54">
                  <c:v>0.0170446538467914</c:v>
                </c:pt>
                <c:pt idx="55">
                  <c:v>0.0171013068241445</c:v>
                </c:pt>
                <c:pt idx="56">
                  <c:v>0.0171545614572398</c:v>
                </c:pt>
                <c:pt idx="57">
                  <c:v>0.0172062772857702</c:v>
                </c:pt>
                <c:pt idx="58">
                  <c:v>0.0172729582250977</c:v>
                </c:pt>
                <c:pt idx="59">
                  <c:v>0.0173009912345113</c:v>
                </c:pt>
                <c:pt idx="60">
                  <c:v>0.0173808231558944</c:v>
                </c:pt>
                <c:pt idx="61">
                  <c:v>0.0174983322721956</c:v>
                </c:pt>
                <c:pt idx="62">
                  <c:v>0.017625622718179</c:v>
                </c:pt>
                <c:pt idx="63">
                  <c:v>0.0176224575672149</c:v>
                </c:pt>
                <c:pt idx="64">
                  <c:v>0.0177102499859528</c:v>
                </c:pt>
                <c:pt idx="65">
                  <c:v>0.0178259372256461</c:v>
                </c:pt>
                <c:pt idx="66">
                  <c:v>0.0179135448929416</c:v>
                </c:pt>
                <c:pt idx="67">
                  <c:v>0.0179153180242881</c:v>
                </c:pt>
                <c:pt idx="68">
                  <c:v>0.0180353130390464</c:v>
                </c:pt>
                <c:pt idx="69">
                  <c:v>0.0181374164490007</c:v>
                </c:pt>
                <c:pt idx="70">
                  <c:v>0.0182457121774271</c:v>
                </c:pt>
                <c:pt idx="71">
                  <c:v>0.0182640775612369</c:v>
                </c:pt>
                <c:pt idx="72">
                  <c:v>0.0183665336016567</c:v>
                </c:pt>
                <c:pt idx="73">
                  <c:v>0.0184591398787946</c:v>
                </c:pt>
                <c:pt idx="74">
                  <c:v>0.0185538681899355</c:v>
                </c:pt>
                <c:pt idx="75">
                  <c:v>0.0185741464768604</c:v>
                </c:pt>
                <c:pt idx="76">
                  <c:v>0.0186305271888987</c:v>
                </c:pt>
                <c:pt idx="77">
                  <c:v>0.018721354275861</c:v>
                </c:pt>
                <c:pt idx="78">
                  <c:v>0.0188389217297684</c:v>
                </c:pt>
                <c:pt idx="79">
                  <c:v>0.018865685712233</c:v>
                </c:pt>
                <c:pt idx="80">
                  <c:v>0.0188940940545956</c:v>
                </c:pt>
                <c:pt idx="81">
                  <c:v>0.0189929727344138</c:v>
                </c:pt>
                <c:pt idx="82">
                  <c:v>0.0190689709507147</c:v>
                </c:pt>
                <c:pt idx="83">
                  <c:v>0.0191127295050483</c:v>
                </c:pt>
                <c:pt idx="84">
                  <c:v>0.0191700103949571</c:v>
                </c:pt>
                <c:pt idx="85">
                  <c:v>0.0192480671077109</c:v>
                </c:pt>
                <c:pt idx="86">
                  <c:v>0.0193319939465108</c:v>
                </c:pt>
                <c:pt idx="87">
                  <c:v>0.0193866030810804</c:v>
                </c:pt>
                <c:pt idx="88">
                  <c:v>0.0194436506692694</c:v>
                </c:pt>
                <c:pt idx="89">
                  <c:v>0.0195144946584719</c:v>
                </c:pt>
                <c:pt idx="90">
                  <c:v>0.0195904677705969</c:v>
                </c:pt>
                <c:pt idx="91">
                  <c:v>0.0196428180593697</c:v>
                </c:pt>
                <c:pt idx="92">
                  <c:v>0.0196633008059959</c:v>
                </c:pt>
                <c:pt idx="93">
                  <c:v>0.0197402280769492</c:v>
                </c:pt>
                <c:pt idx="94">
                  <c:v>0.0198413394833143</c:v>
                </c:pt>
                <c:pt idx="95">
                  <c:v>0.0198670451416302</c:v>
                </c:pt>
                <c:pt idx="96">
                  <c:v>0.0199090699119696</c:v>
                </c:pt>
                <c:pt idx="97">
                  <c:v>0.019991892102443</c:v>
                </c:pt>
                <c:pt idx="98">
                  <c:v>0.0200480788146455</c:v>
                </c:pt>
                <c:pt idx="99">
                  <c:v>0.0200775011129235</c:v>
                </c:pt>
                <c:pt idx="100">
                  <c:v>0.0201327372730886</c:v>
                </c:pt>
                <c:pt idx="101">
                  <c:v>0.0202126077178709</c:v>
                </c:pt>
                <c:pt idx="102">
                  <c:v>0.0202955724001358</c:v>
                </c:pt>
                <c:pt idx="103">
                  <c:v>0.0202569466374489</c:v>
                </c:pt>
                <c:pt idx="104">
                  <c:v>0.02037209704082</c:v>
                </c:pt>
                <c:pt idx="105">
                  <c:v>0.0204363913390399</c:v>
                </c:pt>
                <c:pt idx="106">
                  <c:v>0.0204892316709452</c:v>
                </c:pt>
                <c:pt idx="107">
                  <c:v>0.0204526872277942</c:v>
                </c:pt>
                <c:pt idx="108">
                  <c:v>0.020523691899331</c:v>
                </c:pt>
                <c:pt idx="109">
                  <c:v>0.0205850997516275</c:v>
                </c:pt>
                <c:pt idx="110">
                  <c:v>0.0206533173013597</c:v>
                </c:pt>
                <c:pt idx="111">
                  <c:v>0.0207158917994423</c:v>
                </c:pt>
                <c:pt idx="112">
                  <c:v>0.0207844865267063</c:v>
                </c:pt>
                <c:pt idx="113">
                  <c:v>0.0208447911688348</c:v>
                </c:pt>
                <c:pt idx="114">
                  <c:v>0.0208412153371587</c:v>
                </c:pt>
                <c:pt idx="115">
                  <c:v>0.0209153733625069</c:v>
                </c:pt>
                <c:pt idx="116">
                  <c:v>0.0209688931247051</c:v>
                </c:pt>
                <c:pt idx="117">
                  <c:v>0.0210223061046284</c:v>
                </c:pt>
                <c:pt idx="118">
                  <c:v>0.0210344424739209</c:v>
                </c:pt>
                <c:pt idx="119">
                  <c:v>0.0211104110514609</c:v>
                </c:pt>
                <c:pt idx="120">
                  <c:v>0.0211451919086536</c:v>
                </c:pt>
                <c:pt idx="121">
                  <c:v>0.0211926705767315</c:v>
                </c:pt>
                <c:pt idx="122">
                  <c:v>0.0212201825816653</c:v>
                </c:pt>
                <c:pt idx="123">
                  <c:v>0.0214090312818125</c:v>
                </c:pt>
                <c:pt idx="124">
                  <c:v>0.0215347494744021</c:v>
                </c:pt>
                <c:pt idx="125">
                  <c:v>0.0217016823029256</c:v>
                </c:pt>
                <c:pt idx="126">
                  <c:v>0.0218303797086514</c:v>
                </c:pt>
                <c:pt idx="127">
                  <c:v>0.0220302579427772</c:v>
                </c:pt>
                <c:pt idx="128">
                  <c:v>0.022145399406987</c:v>
                </c:pt>
                <c:pt idx="129">
                  <c:v>0.0222927244353015</c:v>
                </c:pt>
                <c:pt idx="130">
                  <c:v>0.0223731575342289</c:v>
                </c:pt>
                <c:pt idx="131">
                  <c:v>0.0224729292477677</c:v>
                </c:pt>
                <c:pt idx="132">
                  <c:v>0.0225582721518498</c:v>
                </c:pt>
                <c:pt idx="133">
                  <c:v>0.0226865533103737</c:v>
                </c:pt>
                <c:pt idx="134">
                  <c:v>0.0227967812033582</c:v>
                </c:pt>
                <c:pt idx="135">
                  <c:v>0.0229110544084882</c:v>
                </c:pt>
                <c:pt idx="136">
                  <c:v>0.0230041802770003</c:v>
                </c:pt>
                <c:pt idx="137">
                  <c:v>0.0230957226929447</c:v>
                </c:pt>
                <c:pt idx="138">
                  <c:v>0.0233243517374438</c:v>
                </c:pt>
                <c:pt idx="139">
                  <c:v>0.0236438841245825</c:v>
                </c:pt>
                <c:pt idx="140">
                  <c:v>0.0252423922607654</c:v>
                </c:pt>
                <c:pt idx="141">
                  <c:v>0.0255078297480161</c:v>
                </c:pt>
                <c:pt idx="142">
                  <c:v>0.025537980996815</c:v>
                </c:pt>
                <c:pt idx="143">
                  <c:v>0.02585580004294</c:v>
                </c:pt>
                <c:pt idx="144">
                  <c:v>0.0258998820635322</c:v>
                </c:pt>
                <c:pt idx="145">
                  <c:v>0.0262971534676602</c:v>
                </c:pt>
                <c:pt idx="146">
                  <c:v>0.0262198179993038</c:v>
                </c:pt>
                <c:pt idx="147">
                  <c:v>0.0262468931426242</c:v>
                </c:pt>
                <c:pt idx="148">
                  <c:v>0.026334477046349</c:v>
                </c:pt>
                <c:pt idx="149">
                  <c:v>0.0263581459572866</c:v>
                </c:pt>
                <c:pt idx="150">
                  <c:v>0.0264591532867664</c:v>
                </c:pt>
                <c:pt idx="151">
                  <c:v>0.0266169782748296</c:v>
                </c:pt>
                <c:pt idx="152">
                  <c:v>0.0266048415891965</c:v>
                </c:pt>
                <c:pt idx="153">
                  <c:v>0.0265745604528645</c:v>
                </c:pt>
                <c:pt idx="154">
                  <c:v>0.0266886426198273</c:v>
                </c:pt>
                <c:pt idx="155">
                  <c:v>0.0268664889810164</c:v>
                </c:pt>
                <c:pt idx="156">
                  <c:v>0.0270575610271154</c:v>
                </c:pt>
                <c:pt idx="157">
                  <c:v>0.0271080881643234</c:v>
                </c:pt>
                <c:pt idx="158">
                  <c:v>0.0271766571947063</c:v>
                </c:pt>
                <c:pt idx="159">
                  <c:v>0.0272847690617482</c:v>
                </c:pt>
                <c:pt idx="160">
                  <c:v>0.0273234671701626</c:v>
                </c:pt>
                <c:pt idx="161">
                  <c:v>0.0272646567257756</c:v>
                </c:pt>
                <c:pt idx="162">
                  <c:v>0.0273507653778129</c:v>
                </c:pt>
                <c:pt idx="163">
                  <c:v>0.0272019564321037</c:v>
                </c:pt>
                <c:pt idx="164">
                  <c:v>0.0271973326432651</c:v>
                </c:pt>
                <c:pt idx="165">
                  <c:v>0.027243559950857</c:v>
                </c:pt>
                <c:pt idx="166">
                  <c:v>0.0273071257563141</c:v>
                </c:pt>
                <c:pt idx="167">
                  <c:v>0.0273733664647598</c:v>
                </c:pt>
                <c:pt idx="168">
                  <c:v>0.027403867373133</c:v>
                </c:pt>
                <c:pt idx="169">
                  <c:v>0.0275253991882648</c:v>
                </c:pt>
                <c:pt idx="170">
                  <c:v>0.0273847646603052</c:v>
                </c:pt>
                <c:pt idx="171">
                  <c:v>0.0273978570151102</c:v>
                </c:pt>
                <c:pt idx="172">
                  <c:v>0.0273454053309674</c:v>
                </c:pt>
                <c:pt idx="173">
                  <c:v>0.027429348044825</c:v>
                </c:pt>
                <c:pt idx="174">
                  <c:v>0.0273836271127508</c:v>
                </c:pt>
                <c:pt idx="175">
                  <c:v>0.0273933785961768</c:v>
                </c:pt>
                <c:pt idx="176">
                  <c:v>0.0272018684147079</c:v>
                </c:pt>
                <c:pt idx="177">
                  <c:v>0.0271187142848873</c:v>
                </c:pt>
                <c:pt idx="178">
                  <c:v>0.0270466419753586</c:v>
                </c:pt>
                <c:pt idx="179">
                  <c:v>0.02701000052453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9E2-4440-BC9D-7F1AECC1D2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141312"/>
        <c:axId val="602127008"/>
      </c:scatterChart>
      <c:valAx>
        <c:axId val="602141312"/>
        <c:scaling>
          <c:orientation val="minMax"/>
          <c:max val="30.0"/>
          <c:min val="0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to Maturity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127008"/>
        <c:crosses val="autoZero"/>
        <c:crossBetween val="midCat"/>
      </c:valAx>
      <c:valAx>
        <c:axId val="60212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Yield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141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Yield Error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spotCurvep4!$B$3:$B$182</c:f>
              <c:numCache>
                <c:formatCode>0.00</c:formatCode>
                <c:ptCount val="180"/>
                <c:pt idx="0">
                  <c:v>0.520547945205479</c:v>
                </c:pt>
                <c:pt idx="1">
                  <c:v>0.564383561643836</c:v>
                </c:pt>
                <c:pt idx="2">
                  <c:v>0.605479452054794</c:v>
                </c:pt>
                <c:pt idx="3">
                  <c:v>0.646575342465753</c:v>
                </c:pt>
                <c:pt idx="4">
                  <c:v>0.687671232876712</c:v>
                </c:pt>
                <c:pt idx="5">
                  <c:v>0.731506849315068</c:v>
                </c:pt>
                <c:pt idx="6">
                  <c:v>0.772602739726027</c:v>
                </c:pt>
                <c:pt idx="7">
                  <c:v>0.816438356164383</c:v>
                </c:pt>
                <c:pt idx="8">
                  <c:v>0.857534246575342</c:v>
                </c:pt>
                <c:pt idx="9">
                  <c:v>0.898630136986301</c:v>
                </c:pt>
                <c:pt idx="10">
                  <c:v>0.93972602739726</c:v>
                </c:pt>
                <c:pt idx="11">
                  <c:v>0.983561643835616</c:v>
                </c:pt>
                <c:pt idx="12">
                  <c:v>1.024657534246575</c:v>
                </c:pt>
                <c:pt idx="13">
                  <c:v>1.065753424657534</c:v>
                </c:pt>
                <c:pt idx="14">
                  <c:v>1.106849315068493</c:v>
                </c:pt>
                <c:pt idx="15">
                  <c:v>1.15068493150685</c:v>
                </c:pt>
                <c:pt idx="16">
                  <c:v>1.191780821917808</c:v>
                </c:pt>
                <c:pt idx="17">
                  <c:v>1.235616438356164</c:v>
                </c:pt>
                <c:pt idx="18">
                  <c:v>1.276712328767123</c:v>
                </c:pt>
                <c:pt idx="19">
                  <c:v>1.312328767123288</c:v>
                </c:pt>
                <c:pt idx="20">
                  <c:v>1.353424657534247</c:v>
                </c:pt>
                <c:pt idx="21">
                  <c:v>1.397260273972603</c:v>
                </c:pt>
                <c:pt idx="22">
                  <c:v>1.438356164383562</c:v>
                </c:pt>
                <c:pt idx="23">
                  <c:v>1.47945205479452</c:v>
                </c:pt>
                <c:pt idx="24">
                  <c:v>1.52054794520548</c:v>
                </c:pt>
                <c:pt idx="25">
                  <c:v>1.564383561643835</c:v>
                </c:pt>
                <c:pt idx="26">
                  <c:v>1.605479452054794</c:v>
                </c:pt>
                <c:pt idx="27">
                  <c:v>1.646575342465753</c:v>
                </c:pt>
                <c:pt idx="28">
                  <c:v>1.687671232876712</c:v>
                </c:pt>
                <c:pt idx="29">
                  <c:v>1.731506849315068</c:v>
                </c:pt>
                <c:pt idx="30">
                  <c:v>1.772602739726027</c:v>
                </c:pt>
                <c:pt idx="31">
                  <c:v>1.816438356164383</c:v>
                </c:pt>
                <c:pt idx="32">
                  <c:v>1.857534246575342</c:v>
                </c:pt>
                <c:pt idx="33">
                  <c:v>1.898630136986301</c:v>
                </c:pt>
                <c:pt idx="34">
                  <c:v>1.93972602739726</c:v>
                </c:pt>
                <c:pt idx="35">
                  <c:v>1.983561643835616</c:v>
                </c:pt>
                <c:pt idx="36">
                  <c:v>2.024657534246575</c:v>
                </c:pt>
                <c:pt idx="37">
                  <c:v>2.065753424657534</c:v>
                </c:pt>
                <c:pt idx="38">
                  <c:v>2.106849315068493</c:v>
                </c:pt>
                <c:pt idx="39">
                  <c:v>2.150684931506849</c:v>
                </c:pt>
                <c:pt idx="40">
                  <c:v>2.191780821917808</c:v>
                </c:pt>
                <c:pt idx="41">
                  <c:v>2.235616438356165</c:v>
                </c:pt>
                <c:pt idx="42">
                  <c:v>2.276712328767123</c:v>
                </c:pt>
                <c:pt idx="43">
                  <c:v>2.315068493150685</c:v>
                </c:pt>
                <c:pt idx="44">
                  <c:v>2.356164383561644</c:v>
                </c:pt>
                <c:pt idx="45">
                  <c:v>2.4</c:v>
                </c:pt>
                <c:pt idx="46">
                  <c:v>2.482191780821917</c:v>
                </c:pt>
                <c:pt idx="47">
                  <c:v>2.523287671232876</c:v>
                </c:pt>
                <c:pt idx="48">
                  <c:v>2.567123287671232</c:v>
                </c:pt>
                <c:pt idx="49">
                  <c:v>2.608219178082192</c:v>
                </c:pt>
                <c:pt idx="50">
                  <c:v>2.649315068493151</c:v>
                </c:pt>
                <c:pt idx="51">
                  <c:v>2.690410958904109</c:v>
                </c:pt>
                <c:pt idx="52">
                  <c:v>2.734246575342466</c:v>
                </c:pt>
                <c:pt idx="53">
                  <c:v>2.775342465753424</c:v>
                </c:pt>
                <c:pt idx="54">
                  <c:v>2.819178082191781</c:v>
                </c:pt>
                <c:pt idx="55">
                  <c:v>2.860273972602739</c:v>
                </c:pt>
                <c:pt idx="56">
                  <c:v>2.901369863013699</c:v>
                </c:pt>
                <c:pt idx="57">
                  <c:v>2.942465753424658</c:v>
                </c:pt>
                <c:pt idx="58">
                  <c:v>2.986301369863014</c:v>
                </c:pt>
                <c:pt idx="59">
                  <c:v>3.027397260273972</c:v>
                </c:pt>
                <c:pt idx="60">
                  <c:v>3.068493150684931</c:v>
                </c:pt>
                <c:pt idx="61">
                  <c:v>3.153424657534246</c:v>
                </c:pt>
                <c:pt idx="62">
                  <c:v>3.238356164383561</c:v>
                </c:pt>
                <c:pt idx="63">
                  <c:v>3.27945205479452</c:v>
                </c:pt>
                <c:pt idx="64">
                  <c:v>3.315068493150685</c:v>
                </c:pt>
                <c:pt idx="65">
                  <c:v>3.4</c:v>
                </c:pt>
                <c:pt idx="66">
                  <c:v>3.482191780821917</c:v>
                </c:pt>
                <c:pt idx="67">
                  <c:v>3.523287671232876</c:v>
                </c:pt>
                <c:pt idx="68">
                  <c:v>3.567123287671232</c:v>
                </c:pt>
                <c:pt idx="69">
                  <c:v>3.649315068493151</c:v>
                </c:pt>
                <c:pt idx="70">
                  <c:v>3.734246575342466</c:v>
                </c:pt>
                <c:pt idx="71">
                  <c:v>3.775342465753424</c:v>
                </c:pt>
                <c:pt idx="72">
                  <c:v>3.819178082191781</c:v>
                </c:pt>
                <c:pt idx="73">
                  <c:v>3.901369863013699</c:v>
                </c:pt>
                <c:pt idx="74">
                  <c:v>3.986301369863014</c:v>
                </c:pt>
                <c:pt idx="75">
                  <c:v>4.027397260273973</c:v>
                </c:pt>
                <c:pt idx="76">
                  <c:v>4.068493150684931</c:v>
                </c:pt>
                <c:pt idx="77">
                  <c:v>4.153424657534247</c:v>
                </c:pt>
                <c:pt idx="78">
                  <c:v>4.23835616438356</c:v>
                </c:pt>
                <c:pt idx="79">
                  <c:v>4.27945205479452</c:v>
                </c:pt>
                <c:pt idx="80">
                  <c:v>4.315068493150684</c:v>
                </c:pt>
                <c:pt idx="81">
                  <c:v>4.4</c:v>
                </c:pt>
                <c:pt idx="82">
                  <c:v>4.482191780821917</c:v>
                </c:pt>
                <c:pt idx="83">
                  <c:v>4.523287671232877</c:v>
                </c:pt>
                <c:pt idx="84">
                  <c:v>4.567123287671233</c:v>
                </c:pt>
                <c:pt idx="85">
                  <c:v>4.64931506849315</c:v>
                </c:pt>
                <c:pt idx="86">
                  <c:v>4.734246575342465</c:v>
                </c:pt>
                <c:pt idx="87">
                  <c:v>4.775342465753424</c:v>
                </c:pt>
                <c:pt idx="88">
                  <c:v>4.81917808219178</c:v>
                </c:pt>
                <c:pt idx="89">
                  <c:v>4.901369863013698</c:v>
                </c:pt>
                <c:pt idx="90">
                  <c:v>4.986301369863014</c:v>
                </c:pt>
                <c:pt idx="91">
                  <c:v>5.027397260273973</c:v>
                </c:pt>
                <c:pt idx="92">
                  <c:v>5.068493150684931</c:v>
                </c:pt>
                <c:pt idx="93">
                  <c:v>5.153424657534247</c:v>
                </c:pt>
                <c:pt idx="94">
                  <c:v>5.23835616438356</c:v>
                </c:pt>
                <c:pt idx="95">
                  <c:v>5.27945205479452</c:v>
                </c:pt>
                <c:pt idx="96">
                  <c:v>5.315068493150684</c:v>
                </c:pt>
                <c:pt idx="97">
                  <c:v>5.4</c:v>
                </c:pt>
                <c:pt idx="98">
                  <c:v>5.482191780821917</c:v>
                </c:pt>
                <c:pt idx="99">
                  <c:v>5.523287671232877</c:v>
                </c:pt>
                <c:pt idx="100">
                  <c:v>5.567123287671233</c:v>
                </c:pt>
                <c:pt idx="101">
                  <c:v>5.64931506849315</c:v>
                </c:pt>
                <c:pt idx="102">
                  <c:v>5.734246575342465</c:v>
                </c:pt>
                <c:pt idx="103">
                  <c:v>5.775342465753424</c:v>
                </c:pt>
                <c:pt idx="104">
                  <c:v>5.81917808219178</c:v>
                </c:pt>
                <c:pt idx="105">
                  <c:v>5.901369863013698</c:v>
                </c:pt>
                <c:pt idx="106">
                  <c:v>5.986301369863014</c:v>
                </c:pt>
                <c:pt idx="107">
                  <c:v>6.027397260273973</c:v>
                </c:pt>
                <c:pt idx="108">
                  <c:v>6.068493150684931</c:v>
                </c:pt>
                <c:pt idx="109">
                  <c:v>6.153424657534247</c:v>
                </c:pt>
                <c:pt idx="110">
                  <c:v>6.27945205479452</c:v>
                </c:pt>
                <c:pt idx="111">
                  <c:v>6.317808219178082</c:v>
                </c:pt>
                <c:pt idx="112">
                  <c:v>6.402739726027397</c:v>
                </c:pt>
                <c:pt idx="113">
                  <c:v>6.484931506849315</c:v>
                </c:pt>
                <c:pt idx="114">
                  <c:v>6.526027397260274</c:v>
                </c:pt>
                <c:pt idx="115">
                  <c:v>6.56986301369863</c:v>
                </c:pt>
                <c:pt idx="116">
                  <c:v>6.652054794520548</c:v>
                </c:pt>
                <c:pt idx="117">
                  <c:v>6.736986301369863</c:v>
                </c:pt>
                <c:pt idx="118">
                  <c:v>6.77808219178082</c:v>
                </c:pt>
                <c:pt idx="119">
                  <c:v>6.821917808219178</c:v>
                </c:pt>
                <c:pt idx="120">
                  <c:v>6.904109589041096</c:v>
                </c:pt>
                <c:pt idx="121">
                  <c:v>6.98904109589041</c:v>
                </c:pt>
                <c:pt idx="122">
                  <c:v>7.03013698630137</c:v>
                </c:pt>
                <c:pt idx="123">
                  <c:v>7.282191780821917</c:v>
                </c:pt>
                <c:pt idx="124">
                  <c:v>7.526027397260274</c:v>
                </c:pt>
                <c:pt idx="125">
                  <c:v>7.77808219178082</c:v>
                </c:pt>
                <c:pt idx="126">
                  <c:v>8.03013698630137</c:v>
                </c:pt>
                <c:pt idx="127">
                  <c:v>8.282191780821918</c:v>
                </c:pt>
                <c:pt idx="128">
                  <c:v>8.526027397260273</c:v>
                </c:pt>
                <c:pt idx="129">
                  <c:v>8.778082191780822</c:v>
                </c:pt>
                <c:pt idx="130">
                  <c:v>9.03013698630137</c:v>
                </c:pt>
                <c:pt idx="131">
                  <c:v>9.282191780821918</c:v>
                </c:pt>
                <c:pt idx="132">
                  <c:v>9.526027397260273</c:v>
                </c:pt>
                <c:pt idx="133">
                  <c:v>9.778082191780822</c:v>
                </c:pt>
                <c:pt idx="134">
                  <c:v>10.78082191780822</c:v>
                </c:pt>
                <c:pt idx="135">
                  <c:v>11.03287671232877</c:v>
                </c:pt>
                <c:pt idx="136">
                  <c:v>11.28493150684931</c:v>
                </c:pt>
                <c:pt idx="137">
                  <c:v>11.78082191780822</c:v>
                </c:pt>
                <c:pt idx="138">
                  <c:v>12.52876712328767</c:v>
                </c:pt>
                <c:pt idx="139">
                  <c:v>13.28493150684931</c:v>
                </c:pt>
                <c:pt idx="140">
                  <c:v>18.28767123287671</c:v>
                </c:pt>
                <c:pt idx="141">
                  <c:v>19.29041095890411</c:v>
                </c:pt>
                <c:pt idx="142">
                  <c:v>19.53424657534246</c:v>
                </c:pt>
                <c:pt idx="143">
                  <c:v>20.29041095890411</c:v>
                </c:pt>
                <c:pt idx="144">
                  <c:v>20.53424657534246</c:v>
                </c:pt>
                <c:pt idx="145">
                  <c:v>21.29041095890411</c:v>
                </c:pt>
                <c:pt idx="146">
                  <c:v>21.53424657534246</c:v>
                </c:pt>
                <c:pt idx="147">
                  <c:v>21.78630136986301</c:v>
                </c:pt>
                <c:pt idx="148">
                  <c:v>22.03835616438356</c:v>
                </c:pt>
                <c:pt idx="149">
                  <c:v>22.29041095890411</c:v>
                </c:pt>
                <c:pt idx="150">
                  <c:v>22.53698630136986</c:v>
                </c:pt>
                <c:pt idx="151">
                  <c:v>22.78904109589041</c:v>
                </c:pt>
                <c:pt idx="152">
                  <c:v>23.04109589041096</c:v>
                </c:pt>
                <c:pt idx="153">
                  <c:v>23.29315068493151</c:v>
                </c:pt>
                <c:pt idx="154">
                  <c:v>23.53698630136986</c:v>
                </c:pt>
                <c:pt idx="155">
                  <c:v>23.78904109589041</c:v>
                </c:pt>
                <c:pt idx="156">
                  <c:v>24.04109589041096</c:v>
                </c:pt>
                <c:pt idx="157">
                  <c:v>24.29315068493151</c:v>
                </c:pt>
                <c:pt idx="158">
                  <c:v>24.53698630136986</c:v>
                </c:pt>
                <c:pt idx="159">
                  <c:v>24.78904109589041</c:v>
                </c:pt>
                <c:pt idx="160">
                  <c:v>25.04109589041096</c:v>
                </c:pt>
                <c:pt idx="161">
                  <c:v>25.29315068493151</c:v>
                </c:pt>
                <c:pt idx="162">
                  <c:v>25.53698630136986</c:v>
                </c:pt>
                <c:pt idx="163">
                  <c:v>25.78904109589041</c:v>
                </c:pt>
                <c:pt idx="164">
                  <c:v>26.04109589041096</c:v>
                </c:pt>
                <c:pt idx="165">
                  <c:v>26.29315068493151</c:v>
                </c:pt>
                <c:pt idx="166">
                  <c:v>26.53972602739726</c:v>
                </c:pt>
                <c:pt idx="167">
                  <c:v>26.79178082191781</c:v>
                </c:pt>
                <c:pt idx="168">
                  <c:v>27.04383561643836</c:v>
                </c:pt>
                <c:pt idx="169">
                  <c:v>27.2958904109589</c:v>
                </c:pt>
                <c:pt idx="170">
                  <c:v>27.53972602739726</c:v>
                </c:pt>
                <c:pt idx="171">
                  <c:v>27.79178082191781</c:v>
                </c:pt>
                <c:pt idx="172">
                  <c:v>28.04383561643836</c:v>
                </c:pt>
                <c:pt idx="173">
                  <c:v>28.2958904109589</c:v>
                </c:pt>
                <c:pt idx="174">
                  <c:v>28.53972602739726</c:v>
                </c:pt>
                <c:pt idx="175">
                  <c:v>28.79178082191781</c:v>
                </c:pt>
                <c:pt idx="176">
                  <c:v>29.04383561643836</c:v>
                </c:pt>
                <c:pt idx="177">
                  <c:v>29.2958904109589</c:v>
                </c:pt>
                <c:pt idx="178">
                  <c:v>29.53972602739726</c:v>
                </c:pt>
                <c:pt idx="179">
                  <c:v>29.79178082191781</c:v>
                </c:pt>
              </c:numCache>
            </c:numRef>
          </c:xVal>
          <c:yVal>
            <c:numRef>
              <c:f>spotCurvep4!$N$3:$N$182</c:f>
              <c:numCache>
                <c:formatCode>General</c:formatCode>
                <c:ptCount val="180"/>
                <c:pt idx="0">
                  <c:v>0.000160734612783844</c:v>
                </c:pt>
                <c:pt idx="1">
                  <c:v>-0.00031686136355673</c:v>
                </c:pt>
                <c:pt idx="2">
                  <c:v>-0.000466265289037258</c:v>
                </c:pt>
                <c:pt idx="3">
                  <c:v>-0.00047495160224606</c:v>
                </c:pt>
                <c:pt idx="4">
                  <c:v>-0.00073998657262881</c:v>
                </c:pt>
                <c:pt idx="5">
                  <c:v>-0.000799913856184463</c:v>
                </c:pt>
                <c:pt idx="6">
                  <c:v>-0.000818074810423995</c:v>
                </c:pt>
                <c:pt idx="7">
                  <c:v>-0.000860688009006042</c:v>
                </c:pt>
                <c:pt idx="8">
                  <c:v>-0.00102445772788642</c:v>
                </c:pt>
                <c:pt idx="9">
                  <c:v>-0.00104549206347932</c:v>
                </c:pt>
                <c:pt idx="10">
                  <c:v>-0.00105534057965689</c:v>
                </c:pt>
                <c:pt idx="11">
                  <c:v>-0.00105849403844678</c:v>
                </c:pt>
                <c:pt idx="12">
                  <c:v>-0.00104823102192894</c:v>
                </c:pt>
                <c:pt idx="13">
                  <c:v>-0.000967412321253091</c:v>
                </c:pt>
                <c:pt idx="14">
                  <c:v>-0.00105726491032871</c:v>
                </c:pt>
                <c:pt idx="15">
                  <c:v>-0.000861480195252444</c:v>
                </c:pt>
                <c:pt idx="16">
                  <c:v>-0.000768658810616747</c:v>
                </c:pt>
                <c:pt idx="17">
                  <c:v>-0.000801662279554164</c:v>
                </c:pt>
                <c:pt idx="18">
                  <c:v>-0.000828819982270462</c:v>
                </c:pt>
                <c:pt idx="19">
                  <c:v>-0.00076818733039191</c:v>
                </c:pt>
                <c:pt idx="20">
                  <c:v>-0.000783770717860951</c:v>
                </c:pt>
                <c:pt idx="21">
                  <c:v>-0.000763835518293386</c:v>
                </c:pt>
                <c:pt idx="22">
                  <c:v>-0.000766807436099833</c:v>
                </c:pt>
                <c:pt idx="23">
                  <c:v>-0.000791461335587282</c:v>
                </c:pt>
                <c:pt idx="24">
                  <c:v>-0.000733077243511609</c:v>
                </c:pt>
                <c:pt idx="25">
                  <c:v>-0.000519151018439971</c:v>
                </c:pt>
                <c:pt idx="26">
                  <c:v>-0.000822660376956989</c:v>
                </c:pt>
                <c:pt idx="27">
                  <c:v>-0.000707121460559666</c:v>
                </c:pt>
                <c:pt idx="28">
                  <c:v>-0.000569028195468946</c:v>
                </c:pt>
                <c:pt idx="29">
                  <c:v>-0.000579722884391183</c:v>
                </c:pt>
                <c:pt idx="30">
                  <c:v>-0.000573807887207815</c:v>
                </c:pt>
                <c:pt idx="31">
                  <c:v>-0.00063184974545172</c:v>
                </c:pt>
                <c:pt idx="32">
                  <c:v>-0.00060320482474825</c:v>
                </c:pt>
                <c:pt idx="33">
                  <c:v>-0.000492004136589619</c:v>
                </c:pt>
                <c:pt idx="34">
                  <c:v>-0.000463457468923959</c:v>
                </c:pt>
                <c:pt idx="35">
                  <c:v>-0.000433175781985876</c:v>
                </c:pt>
                <c:pt idx="36">
                  <c:v>-0.000461488048928833</c:v>
                </c:pt>
                <c:pt idx="37">
                  <c:v>-0.00042375721964976</c:v>
                </c:pt>
                <c:pt idx="38">
                  <c:v>-0.000510494003173756</c:v>
                </c:pt>
                <c:pt idx="39">
                  <c:v>-0.000399245311811281</c:v>
                </c:pt>
                <c:pt idx="40">
                  <c:v>-0.000484100721809176</c:v>
                </c:pt>
                <c:pt idx="41">
                  <c:v>-0.000389702352421813</c:v>
                </c:pt>
                <c:pt idx="42">
                  <c:v>-0.000413984664525805</c:v>
                </c:pt>
                <c:pt idx="43">
                  <c:v>-0.000376488221320772</c:v>
                </c:pt>
                <c:pt idx="44">
                  <c:v>-0.00050024882889816</c:v>
                </c:pt>
                <c:pt idx="45">
                  <c:v>-0.000341409736858453</c:v>
                </c:pt>
                <c:pt idx="46">
                  <c:v>-0.000373985118057311</c:v>
                </c:pt>
                <c:pt idx="47">
                  <c:v>-0.000397376377188393</c:v>
                </c:pt>
                <c:pt idx="48">
                  <c:v>-0.000281438500329113</c:v>
                </c:pt>
                <c:pt idx="49">
                  <c:v>-0.000311736730107495</c:v>
                </c:pt>
                <c:pt idx="50">
                  <c:v>-0.000364630839953823</c:v>
                </c:pt>
                <c:pt idx="51">
                  <c:v>-0.000319513732655159</c:v>
                </c:pt>
                <c:pt idx="52">
                  <c:v>-0.000325601916918893</c:v>
                </c:pt>
                <c:pt idx="53">
                  <c:v>-0.000211254616885592</c:v>
                </c:pt>
                <c:pt idx="54">
                  <c:v>-0.000245346153208554</c:v>
                </c:pt>
                <c:pt idx="55">
                  <c:v>-0.000108693175855531</c:v>
                </c:pt>
                <c:pt idx="56">
                  <c:v>-0.00025543854276024</c:v>
                </c:pt>
                <c:pt idx="57">
                  <c:v>-8.37227142297669E-5</c:v>
                </c:pt>
                <c:pt idx="58">
                  <c:v>-0.000227041774902341</c:v>
                </c:pt>
                <c:pt idx="59">
                  <c:v>-0.000319008765488658</c:v>
                </c:pt>
                <c:pt idx="60">
                  <c:v>-0.000339176844105574</c:v>
                </c:pt>
                <c:pt idx="61">
                  <c:v>-0.000361667727804354</c:v>
                </c:pt>
                <c:pt idx="62">
                  <c:v>-0.000364377281821024</c:v>
                </c:pt>
                <c:pt idx="63">
                  <c:v>-0.000197542432785084</c:v>
                </c:pt>
                <c:pt idx="64">
                  <c:v>-0.000389750014047164</c:v>
                </c:pt>
                <c:pt idx="65">
                  <c:v>-0.000384062774353867</c:v>
                </c:pt>
                <c:pt idx="66">
                  <c:v>-0.000346455107058389</c:v>
                </c:pt>
                <c:pt idx="67">
                  <c:v>-0.000184681975711899</c:v>
                </c:pt>
                <c:pt idx="68">
                  <c:v>-0.000354686960953556</c:v>
                </c:pt>
                <c:pt idx="69">
                  <c:v>-0.000382583550999283</c:v>
                </c:pt>
                <c:pt idx="70">
                  <c:v>-0.000404287822572912</c:v>
                </c:pt>
                <c:pt idx="71">
                  <c:v>-0.000375922438763058</c:v>
                </c:pt>
                <c:pt idx="72">
                  <c:v>-0.000403466398343287</c:v>
                </c:pt>
                <c:pt idx="73">
                  <c:v>-0.00039086012120541</c:v>
                </c:pt>
                <c:pt idx="74">
                  <c:v>-0.00034613181006448</c:v>
                </c:pt>
                <c:pt idx="75">
                  <c:v>-0.000235853523139623</c:v>
                </c:pt>
                <c:pt idx="76">
                  <c:v>-0.000409472811101326</c:v>
                </c:pt>
                <c:pt idx="77">
                  <c:v>-0.000448645724138958</c:v>
                </c:pt>
                <c:pt idx="78">
                  <c:v>-0.000421078270231571</c:v>
                </c:pt>
                <c:pt idx="79">
                  <c:v>-0.000294314287766949</c:v>
                </c:pt>
                <c:pt idx="80">
                  <c:v>-0.000485905945404361</c:v>
                </c:pt>
                <c:pt idx="81">
                  <c:v>-0.000517027265586195</c:v>
                </c:pt>
                <c:pt idx="82">
                  <c:v>-0.000531029049285293</c:v>
                </c:pt>
                <c:pt idx="83">
                  <c:v>-0.000347270494951722</c:v>
                </c:pt>
                <c:pt idx="84">
                  <c:v>-0.000489989605042908</c:v>
                </c:pt>
                <c:pt idx="85">
                  <c:v>-0.000531932892289047</c:v>
                </c:pt>
                <c:pt idx="86">
                  <c:v>-0.00055800605348923</c:v>
                </c:pt>
                <c:pt idx="87">
                  <c:v>-0.000303396918919629</c:v>
                </c:pt>
                <c:pt idx="88">
                  <c:v>-0.000476349330730576</c:v>
                </c:pt>
                <c:pt idx="89">
                  <c:v>-0.000595505341528107</c:v>
                </c:pt>
                <c:pt idx="90">
                  <c:v>-0.000529532229403044</c:v>
                </c:pt>
                <c:pt idx="91">
                  <c:v>-0.00046718194063031</c:v>
                </c:pt>
                <c:pt idx="92">
                  <c:v>-0.000546699194004057</c:v>
                </c:pt>
                <c:pt idx="93">
                  <c:v>-0.000589771923050805</c:v>
                </c:pt>
                <c:pt idx="94">
                  <c:v>-0.000628660516685739</c:v>
                </c:pt>
                <c:pt idx="95">
                  <c:v>-0.000612954858369808</c:v>
                </c:pt>
                <c:pt idx="96">
                  <c:v>-0.000610930088030419</c:v>
                </c:pt>
                <c:pt idx="97">
                  <c:v>-0.000628107897556979</c:v>
                </c:pt>
                <c:pt idx="98">
                  <c:v>-0.000621921185354542</c:v>
                </c:pt>
                <c:pt idx="99">
                  <c:v>-0.000672498887076538</c:v>
                </c:pt>
                <c:pt idx="100">
                  <c:v>-0.000647262726911412</c:v>
                </c:pt>
                <c:pt idx="101">
                  <c:v>-0.000647392282129053</c:v>
                </c:pt>
                <c:pt idx="102">
                  <c:v>-0.000634427599864217</c:v>
                </c:pt>
                <c:pt idx="103">
                  <c:v>-0.000553053362551063</c:v>
                </c:pt>
                <c:pt idx="104">
                  <c:v>-0.000617902959180013</c:v>
                </c:pt>
                <c:pt idx="105">
                  <c:v>-0.000633608660960141</c:v>
                </c:pt>
                <c:pt idx="106">
                  <c:v>-0.000560768329054842</c:v>
                </c:pt>
                <c:pt idx="107">
                  <c:v>-0.000577312772205834</c:v>
                </c:pt>
                <c:pt idx="108">
                  <c:v>-0.000556308100669027</c:v>
                </c:pt>
                <c:pt idx="109">
                  <c:v>-0.00067490024837245</c:v>
                </c:pt>
                <c:pt idx="110">
                  <c:v>-0.000716682698640343</c:v>
                </c:pt>
                <c:pt idx="111">
                  <c:v>-0.000744108200557695</c:v>
                </c:pt>
                <c:pt idx="112">
                  <c:v>-0.00075551347329373</c:v>
                </c:pt>
                <c:pt idx="113">
                  <c:v>-0.000735208831165242</c:v>
                </c:pt>
                <c:pt idx="114">
                  <c:v>-0.000768784662841276</c:v>
                </c:pt>
                <c:pt idx="115">
                  <c:v>-0.000764626637493125</c:v>
                </c:pt>
                <c:pt idx="116">
                  <c:v>-0.000771106875294938</c:v>
                </c:pt>
                <c:pt idx="117">
                  <c:v>-0.000767693895371617</c:v>
                </c:pt>
                <c:pt idx="118">
                  <c:v>-0.00078555752607912</c:v>
                </c:pt>
                <c:pt idx="119">
                  <c:v>-0.000729588948539122</c:v>
                </c:pt>
                <c:pt idx="120">
                  <c:v>-0.000754808091346377</c:v>
                </c:pt>
                <c:pt idx="121">
                  <c:v>-0.000757329423268525</c:v>
                </c:pt>
                <c:pt idx="122">
                  <c:v>-0.000769817418334685</c:v>
                </c:pt>
                <c:pt idx="123">
                  <c:v>-0.000810968718187518</c:v>
                </c:pt>
                <c:pt idx="124">
                  <c:v>-0.000805250525597909</c:v>
                </c:pt>
                <c:pt idx="125">
                  <c:v>-0.000838317697074379</c:v>
                </c:pt>
                <c:pt idx="126">
                  <c:v>-0.00083962029134858</c:v>
                </c:pt>
                <c:pt idx="127">
                  <c:v>-0.000839742057222772</c:v>
                </c:pt>
                <c:pt idx="128">
                  <c:v>-0.000854600593012997</c:v>
                </c:pt>
                <c:pt idx="129">
                  <c:v>-0.000817275564698468</c:v>
                </c:pt>
                <c:pt idx="130">
                  <c:v>-0.000806842465771045</c:v>
                </c:pt>
                <c:pt idx="131">
                  <c:v>-0.0008270707522323</c:v>
                </c:pt>
                <c:pt idx="132">
                  <c:v>-0.000781727848150216</c:v>
                </c:pt>
                <c:pt idx="133">
                  <c:v>-0.000723446689626292</c:v>
                </c:pt>
                <c:pt idx="134">
                  <c:v>-0.000533218796641834</c:v>
                </c:pt>
                <c:pt idx="135">
                  <c:v>-0.000458945591511765</c:v>
                </c:pt>
                <c:pt idx="136">
                  <c:v>-0.000455819722999663</c:v>
                </c:pt>
                <c:pt idx="137">
                  <c:v>-0.000424277307055319</c:v>
                </c:pt>
                <c:pt idx="138">
                  <c:v>-0.000415648262556186</c:v>
                </c:pt>
                <c:pt idx="139">
                  <c:v>-0.000206115875417447</c:v>
                </c:pt>
                <c:pt idx="140">
                  <c:v>0.000172392260765403</c:v>
                </c:pt>
                <c:pt idx="141">
                  <c:v>-2.17025198389481E-6</c:v>
                </c:pt>
                <c:pt idx="142">
                  <c:v>-9.20190031850135E-5</c:v>
                </c:pt>
                <c:pt idx="143">
                  <c:v>-0.000214199957059957</c:v>
                </c:pt>
                <c:pt idx="144">
                  <c:v>-0.000240117936467801</c:v>
                </c:pt>
                <c:pt idx="145">
                  <c:v>-0.000262846532339787</c:v>
                </c:pt>
                <c:pt idx="146">
                  <c:v>-0.000410182000696171</c:v>
                </c:pt>
                <c:pt idx="147">
                  <c:v>-0.000443106857375846</c:v>
                </c:pt>
                <c:pt idx="148">
                  <c:v>-0.000475522953651025</c:v>
                </c:pt>
                <c:pt idx="149">
                  <c:v>-0.000471854042713365</c:v>
                </c:pt>
                <c:pt idx="150">
                  <c:v>-0.000490846713233576</c:v>
                </c:pt>
                <c:pt idx="151">
                  <c:v>-0.000493021725170371</c:v>
                </c:pt>
                <c:pt idx="152">
                  <c:v>-0.000495158410803522</c:v>
                </c:pt>
                <c:pt idx="153">
                  <c:v>-0.000485439547135473</c:v>
                </c:pt>
                <c:pt idx="154">
                  <c:v>-0.000491357380172731</c:v>
                </c:pt>
                <c:pt idx="155">
                  <c:v>-0.000453511018983561</c:v>
                </c:pt>
                <c:pt idx="156">
                  <c:v>-0.000442438972884564</c:v>
                </c:pt>
                <c:pt idx="157">
                  <c:v>-0.000441911835676628</c:v>
                </c:pt>
                <c:pt idx="158">
                  <c:v>-0.000413342805293669</c:v>
                </c:pt>
                <c:pt idx="159">
                  <c:v>-0.000425230938251746</c:v>
                </c:pt>
                <c:pt idx="160">
                  <c:v>-0.000476532829837426</c:v>
                </c:pt>
                <c:pt idx="161">
                  <c:v>-0.000515343274224426</c:v>
                </c:pt>
                <c:pt idx="162">
                  <c:v>-0.000499234622187122</c:v>
                </c:pt>
                <c:pt idx="163">
                  <c:v>-0.000558043567896287</c:v>
                </c:pt>
                <c:pt idx="164">
                  <c:v>-0.000542667356734885</c:v>
                </c:pt>
                <c:pt idx="165">
                  <c:v>-0.000536440049142984</c:v>
                </c:pt>
                <c:pt idx="166">
                  <c:v>-0.000532874243685886</c:v>
                </c:pt>
                <c:pt idx="167">
                  <c:v>-0.000526633535240243</c:v>
                </c:pt>
                <c:pt idx="168">
                  <c:v>-0.000536132626867011</c:v>
                </c:pt>
                <c:pt idx="169">
                  <c:v>-0.000584600811735215</c:v>
                </c:pt>
                <c:pt idx="170">
                  <c:v>-0.000635235339694794</c:v>
                </c:pt>
                <c:pt idx="171">
                  <c:v>-0.00068214298488984</c:v>
                </c:pt>
                <c:pt idx="172">
                  <c:v>-0.000744594669032594</c:v>
                </c:pt>
                <c:pt idx="173">
                  <c:v>-0.00077065195517495</c:v>
                </c:pt>
                <c:pt idx="174">
                  <c:v>-0.000816372887249145</c:v>
                </c:pt>
                <c:pt idx="175">
                  <c:v>-0.000846621403823192</c:v>
                </c:pt>
                <c:pt idx="176">
                  <c:v>-0.000948131585292121</c:v>
                </c:pt>
                <c:pt idx="177">
                  <c:v>-0.00102128571511274</c:v>
                </c:pt>
                <c:pt idx="178">
                  <c:v>-0.00110335802464136</c:v>
                </c:pt>
                <c:pt idx="179">
                  <c:v>-0.00117999947547002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883-4A5A-B418-903AC05E69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441584"/>
        <c:axId val="673727840"/>
      </c:scatterChart>
      <c:valAx>
        <c:axId val="656441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to Maturity (years)</a:t>
                </a:r>
              </a:p>
            </c:rich>
          </c:tx>
          <c:layout>
            <c:manualLayout>
              <c:xMode val="edge"/>
              <c:yMode val="edge"/>
              <c:x val="0.420186351706037"/>
              <c:y val="0.9018285214348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727840"/>
        <c:crosses val="autoZero"/>
        <c:crossBetween val="midCat"/>
      </c:valAx>
      <c:valAx>
        <c:axId val="67372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Error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41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Pricing Error</a:t>
            </a:r>
          </a:p>
        </c:rich>
      </c:tx>
      <c:layout>
        <c:manualLayout>
          <c:xMode val="edge"/>
          <c:yMode val="edge"/>
          <c:x val="0.375625909455619"/>
          <c:y val="0.05092582605256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spotCurve_p3Spline_knot4!$B$3:$B$182</c:f>
              <c:numCache>
                <c:formatCode>0.00</c:formatCode>
                <c:ptCount val="180"/>
                <c:pt idx="0">
                  <c:v>0.520547945205479</c:v>
                </c:pt>
                <c:pt idx="1">
                  <c:v>0.564383561643836</c:v>
                </c:pt>
                <c:pt idx="2">
                  <c:v>0.605479452054794</c:v>
                </c:pt>
                <c:pt idx="3">
                  <c:v>0.646575342465753</c:v>
                </c:pt>
                <c:pt idx="4">
                  <c:v>0.687671232876712</c:v>
                </c:pt>
                <c:pt idx="5">
                  <c:v>0.731506849315068</c:v>
                </c:pt>
                <c:pt idx="6">
                  <c:v>0.772602739726027</c:v>
                </c:pt>
                <c:pt idx="7">
                  <c:v>0.816438356164383</c:v>
                </c:pt>
                <c:pt idx="8">
                  <c:v>0.857534246575342</c:v>
                </c:pt>
                <c:pt idx="9">
                  <c:v>0.898630136986301</c:v>
                </c:pt>
                <c:pt idx="10">
                  <c:v>0.93972602739726</c:v>
                </c:pt>
                <c:pt idx="11">
                  <c:v>0.983561643835616</c:v>
                </c:pt>
                <c:pt idx="12">
                  <c:v>1.024657534246575</c:v>
                </c:pt>
                <c:pt idx="13">
                  <c:v>1.065753424657534</c:v>
                </c:pt>
                <c:pt idx="14">
                  <c:v>1.106849315068493</c:v>
                </c:pt>
                <c:pt idx="15">
                  <c:v>1.15068493150685</c:v>
                </c:pt>
                <c:pt idx="16">
                  <c:v>1.191780821917808</c:v>
                </c:pt>
                <c:pt idx="17">
                  <c:v>1.235616438356164</c:v>
                </c:pt>
                <c:pt idx="18">
                  <c:v>1.276712328767123</c:v>
                </c:pt>
                <c:pt idx="19">
                  <c:v>1.312328767123288</c:v>
                </c:pt>
                <c:pt idx="20">
                  <c:v>1.353424657534247</c:v>
                </c:pt>
                <c:pt idx="21">
                  <c:v>1.397260273972603</c:v>
                </c:pt>
                <c:pt idx="22">
                  <c:v>1.438356164383562</c:v>
                </c:pt>
                <c:pt idx="23">
                  <c:v>1.47945205479452</c:v>
                </c:pt>
                <c:pt idx="24">
                  <c:v>1.52054794520548</c:v>
                </c:pt>
                <c:pt idx="25">
                  <c:v>1.564383561643835</c:v>
                </c:pt>
                <c:pt idx="26">
                  <c:v>1.605479452054794</c:v>
                </c:pt>
                <c:pt idx="27">
                  <c:v>1.646575342465753</c:v>
                </c:pt>
                <c:pt idx="28">
                  <c:v>1.687671232876712</c:v>
                </c:pt>
                <c:pt idx="29">
                  <c:v>1.731506849315068</c:v>
                </c:pt>
                <c:pt idx="30">
                  <c:v>1.772602739726027</c:v>
                </c:pt>
                <c:pt idx="31">
                  <c:v>1.816438356164383</c:v>
                </c:pt>
                <c:pt idx="32">
                  <c:v>1.857534246575342</c:v>
                </c:pt>
                <c:pt idx="33">
                  <c:v>1.898630136986301</c:v>
                </c:pt>
                <c:pt idx="34">
                  <c:v>1.93972602739726</c:v>
                </c:pt>
                <c:pt idx="35">
                  <c:v>1.983561643835616</c:v>
                </c:pt>
                <c:pt idx="36">
                  <c:v>2.024657534246575</c:v>
                </c:pt>
                <c:pt idx="37">
                  <c:v>2.065753424657534</c:v>
                </c:pt>
                <c:pt idx="38">
                  <c:v>2.106849315068493</c:v>
                </c:pt>
                <c:pt idx="39">
                  <c:v>2.150684931506849</c:v>
                </c:pt>
                <c:pt idx="40">
                  <c:v>2.191780821917808</c:v>
                </c:pt>
                <c:pt idx="41">
                  <c:v>2.235616438356165</c:v>
                </c:pt>
                <c:pt idx="42">
                  <c:v>2.276712328767123</c:v>
                </c:pt>
                <c:pt idx="43">
                  <c:v>2.315068493150685</c:v>
                </c:pt>
                <c:pt idx="44">
                  <c:v>2.356164383561644</c:v>
                </c:pt>
                <c:pt idx="45">
                  <c:v>2.4</c:v>
                </c:pt>
                <c:pt idx="46">
                  <c:v>2.482191780821917</c:v>
                </c:pt>
                <c:pt idx="47">
                  <c:v>2.523287671232876</c:v>
                </c:pt>
                <c:pt idx="48">
                  <c:v>2.567123287671232</c:v>
                </c:pt>
                <c:pt idx="49">
                  <c:v>2.608219178082192</c:v>
                </c:pt>
                <c:pt idx="50">
                  <c:v>2.649315068493151</c:v>
                </c:pt>
                <c:pt idx="51">
                  <c:v>2.690410958904109</c:v>
                </c:pt>
                <c:pt idx="52">
                  <c:v>2.734246575342466</c:v>
                </c:pt>
                <c:pt idx="53">
                  <c:v>2.775342465753424</c:v>
                </c:pt>
                <c:pt idx="54">
                  <c:v>2.819178082191781</c:v>
                </c:pt>
                <c:pt idx="55">
                  <c:v>2.860273972602739</c:v>
                </c:pt>
                <c:pt idx="56">
                  <c:v>2.901369863013699</c:v>
                </c:pt>
                <c:pt idx="57">
                  <c:v>2.942465753424658</c:v>
                </c:pt>
                <c:pt idx="58">
                  <c:v>2.986301369863014</c:v>
                </c:pt>
                <c:pt idx="59">
                  <c:v>3.027397260273972</c:v>
                </c:pt>
                <c:pt idx="60">
                  <c:v>3.068493150684931</c:v>
                </c:pt>
                <c:pt idx="61">
                  <c:v>3.153424657534246</c:v>
                </c:pt>
                <c:pt idx="62">
                  <c:v>3.238356164383561</c:v>
                </c:pt>
                <c:pt idx="63">
                  <c:v>3.27945205479452</c:v>
                </c:pt>
                <c:pt idx="64">
                  <c:v>3.315068493150685</c:v>
                </c:pt>
                <c:pt idx="65">
                  <c:v>3.4</c:v>
                </c:pt>
                <c:pt idx="66">
                  <c:v>3.482191780821917</c:v>
                </c:pt>
                <c:pt idx="67">
                  <c:v>3.523287671232876</c:v>
                </c:pt>
                <c:pt idx="68">
                  <c:v>3.567123287671232</c:v>
                </c:pt>
                <c:pt idx="69">
                  <c:v>3.649315068493151</c:v>
                </c:pt>
                <c:pt idx="70">
                  <c:v>3.734246575342466</c:v>
                </c:pt>
                <c:pt idx="71">
                  <c:v>3.775342465753424</c:v>
                </c:pt>
                <c:pt idx="72">
                  <c:v>3.819178082191781</c:v>
                </c:pt>
                <c:pt idx="73">
                  <c:v>3.901369863013699</c:v>
                </c:pt>
                <c:pt idx="74">
                  <c:v>3.986301369863014</c:v>
                </c:pt>
                <c:pt idx="75">
                  <c:v>4.027397260273973</c:v>
                </c:pt>
                <c:pt idx="76">
                  <c:v>4.068493150684931</c:v>
                </c:pt>
                <c:pt idx="77">
                  <c:v>4.153424657534247</c:v>
                </c:pt>
                <c:pt idx="78">
                  <c:v>4.23835616438356</c:v>
                </c:pt>
                <c:pt idx="79">
                  <c:v>4.27945205479452</c:v>
                </c:pt>
                <c:pt idx="80">
                  <c:v>4.315068493150684</c:v>
                </c:pt>
                <c:pt idx="81">
                  <c:v>4.4</c:v>
                </c:pt>
                <c:pt idx="82">
                  <c:v>4.482191780821917</c:v>
                </c:pt>
                <c:pt idx="83">
                  <c:v>4.523287671232877</c:v>
                </c:pt>
                <c:pt idx="84">
                  <c:v>4.567123287671233</c:v>
                </c:pt>
                <c:pt idx="85">
                  <c:v>4.64931506849315</c:v>
                </c:pt>
                <c:pt idx="86">
                  <c:v>4.734246575342465</c:v>
                </c:pt>
                <c:pt idx="87">
                  <c:v>4.775342465753424</c:v>
                </c:pt>
                <c:pt idx="88">
                  <c:v>4.81917808219178</c:v>
                </c:pt>
                <c:pt idx="89">
                  <c:v>4.901369863013698</c:v>
                </c:pt>
                <c:pt idx="90">
                  <c:v>4.986301369863014</c:v>
                </c:pt>
                <c:pt idx="91">
                  <c:v>5.027397260273973</c:v>
                </c:pt>
                <c:pt idx="92">
                  <c:v>5.068493150684931</c:v>
                </c:pt>
                <c:pt idx="93">
                  <c:v>5.153424657534247</c:v>
                </c:pt>
                <c:pt idx="94">
                  <c:v>5.23835616438356</c:v>
                </c:pt>
                <c:pt idx="95">
                  <c:v>5.27945205479452</c:v>
                </c:pt>
                <c:pt idx="96">
                  <c:v>5.315068493150684</c:v>
                </c:pt>
                <c:pt idx="97">
                  <c:v>5.4</c:v>
                </c:pt>
                <c:pt idx="98">
                  <c:v>5.482191780821917</c:v>
                </c:pt>
                <c:pt idx="99">
                  <c:v>5.523287671232877</c:v>
                </c:pt>
                <c:pt idx="100">
                  <c:v>5.567123287671233</c:v>
                </c:pt>
                <c:pt idx="101">
                  <c:v>5.64931506849315</c:v>
                </c:pt>
                <c:pt idx="102">
                  <c:v>5.734246575342465</c:v>
                </c:pt>
                <c:pt idx="103">
                  <c:v>5.775342465753424</c:v>
                </c:pt>
                <c:pt idx="104">
                  <c:v>5.81917808219178</c:v>
                </c:pt>
                <c:pt idx="105">
                  <c:v>5.901369863013698</c:v>
                </c:pt>
                <c:pt idx="106">
                  <c:v>5.986301369863014</c:v>
                </c:pt>
                <c:pt idx="107">
                  <c:v>6.027397260273973</c:v>
                </c:pt>
                <c:pt idx="108">
                  <c:v>6.068493150684931</c:v>
                </c:pt>
                <c:pt idx="109">
                  <c:v>6.153424657534247</c:v>
                </c:pt>
                <c:pt idx="110">
                  <c:v>6.27945205479452</c:v>
                </c:pt>
                <c:pt idx="111">
                  <c:v>6.317808219178082</c:v>
                </c:pt>
                <c:pt idx="112">
                  <c:v>6.402739726027397</c:v>
                </c:pt>
                <c:pt idx="113">
                  <c:v>6.484931506849315</c:v>
                </c:pt>
                <c:pt idx="114">
                  <c:v>6.526027397260274</c:v>
                </c:pt>
                <c:pt idx="115">
                  <c:v>6.56986301369863</c:v>
                </c:pt>
                <c:pt idx="116">
                  <c:v>6.652054794520548</c:v>
                </c:pt>
                <c:pt idx="117">
                  <c:v>6.736986301369863</c:v>
                </c:pt>
                <c:pt idx="118">
                  <c:v>6.77808219178082</c:v>
                </c:pt>
                <c:pt idx="119">
                  <c:v>6.821917808219178</c:v>
                </c:pt>
                <c:pt idx="120">
                  <c:v>6.904109589041096</c:v>
                </c:pt>
                <c:pt idx="121">
                  <c:v>6.98904109589041</c:v>
                </c:pt>
                <c:pt idx="122">
                  <c:v>7.03013698630137</c:v>
                </c:pt>
                <c:pt idx="123">
                  <c:v>7.282191780821917</c:v>
                </c:pt>
                <c:pt idx="124">
                  <c:v>7.526027397260274</c:v>
                </c:pt>
                <c:pt idx="125">
                  <c:v>7.77808219178082</c:v>
                </c:pt>
                <c:pt idx="126">
                  <c:v>8.03013698630137</c:v>
                </c:pt>
                <c:pt idx="127">
                  <c:v>8.282191780821918</c:v>
                </c:pt>
                <c:pt idx="128">
                  <c:v>8.526027397260273</c:v>
                </c:pt>
                <c:pt idx="129">
                  <c:v>8.778082191780822</c:v>
                </c:pt>
                <c:pt idx="130">
                  <c:v>9.03013698630137</c:v>
                </c:pt>
                <c:pt idx="131">
                  <c:v>9.282191780821918</c:v>
                </c:pt>
                <c:pt idx="132">
                  <c:v>9.526027397260273</c:v>
                </c:pt>
                <c:pt idx="133">
                  <c:v>9.778082191780822</c:v>
                </c:pt>
                <c:pt idx="134">
                  <c:v>10.78082191780822</c:v>
                </c:pt>
                <c:pt idx="135">
                  <c:v>11.03287671232877</c:v>
                </c:pt>
                <c:pt idx="136">
                  <c:v>11.28493150684931</c:v>
                </c:pt>
                <c:pt idx="137">
                  <c:v>11.78082191780822</c:v>
                </c:pt>
                <c:pt idx="138">
                  <c:v>12.52876712328767</c:v>
                </c:pt>
                <c:pt idx="139">
                  <c:v>13.28493150684931</c:v>
                </c:pt>
                <c:pt idx="140">
                  <c:v>18.28767123287671</c:v>
                </c:pt>
                <c:pt idx="141">
                  <c:v>19.29041095890411</c:v>
                </c:pt>
                <c:pt idx="142">
                  <c:v>19.53424657534246</c:v>
                </c:pt>
                <c:pt idx="143">
                  <c:v>20.29041095890411</c:v>
                </c:pt>
                <c:pt idx="144">
                  <c:v>20.53424657534246</c:v>
                </c:pt>
                <c:pt idx="145">
                  <c:v>21.29041095890411</c:v>
                </c:pt>
                <c:pt idx="146">
                  <c:v>21.53424657534246</c:v>
                </c:pt>
                <c:pt idx="147">
                  <c:v>21.78630136986301</c:v>
                </c:pt>
                <c:pt idx="148">
                  <c:v>22.03835616438356</c:v>
                </c:pt>
                <c:pt idx="149">
                  <c:v>22.29041095890411</c:v>
                </c:pt>
                <c:pt idx="150">
                  <c:v>22.53698630136986</c:v>
                </c:pt>
                <c:pt idx="151">
                  <c:v>22.78904109589041</c:v>
                </c:pt>
                <c:pt idx="152">
                  <c:v>23.04109589041096</c:v>
                </c:pt>
                <c:pt idx="153">
                  <c:v>23.29315068493151</c:v>
                </c:pt>
                <c:pt idx="154">
                  <c:v>23.53698630136986</c:v>
                </c:pt>
                <c:pt idx="155">
                  <c:v>23.78904109589041</c:v>
                </c:pt>
                <c:pt idx="156">
                  <c:v>24.04109589041096</c:v>
                </c:pt>
                <c:pt idx="157">
                  <c:v>24.29315068493151</c:v>
                </c:pt>
                <c:pt idx="158">
                  <c:v>24.53698630136986</c:v>
                </c:pt>
                <c:pt idx="159">
                  <c:v>24.78904109589041</c:v>
                </c:pt>
                <c:pt idx="160">
                  <c:v>25.04109589041096</c:v>
                </c:pt>
                <c:pt idx="161">
                  <c:v>25.29315068493151</c:v>
                </c:pt>
                <c:pt idx="162">
                  <c:v>25.53698630136986</c:v>
                </c:pt>
                <c:pt idx="163">
                  <c:v>25.78904109589041</c:v>
                </c:pt>
                <c:pt idx="164">
                  <c:v>26.04109589041096</c:v>
                </c:pt>
                <c:pt idx="165">
                  <c:v>26.29315068493151</c:v>
                </c:pt>
                <c:pt idx="166">
                  <c:v>26.53972602739726</c:v>
                </c:pt>
                <c:pt idx="167">
                  <c:v>26.79178082191781</c:v>
                </c:pt>
                <c:pt idx="168">
                  <c:v>27.04383561643836</c:v>
                </c:pt>
                <c:pt idx="169">
                  <c:v>27.2958904109589</c:v>
                </c:pt>
                <c:pt idx="170">
                  <c:v>27.53972602739726</c:v>
                </c:pt>
                <c:pt idx="171">
                  <c:v>27.79178082191781</c:v>
                </c:pt>
                <c:pt idx="172">
                  <c:v>28.04383561643836</c:v>
                </c:pt>
                <c:pt idx="173">
                  <c:v>28.2958904109589</c:v>
                </c:pt>
                <c:pt idx="174">
                  <c:v>28.53972602739726</c:v>
                </c:pt>
                <c:pt idx="175">
                  <c:v>28.79178082191781</c:v>
                </c:pt>
                <c:pt idx="176">
                  <c:v>29.04383561643836</c:v>
                </c:pt>
                <c:pt idx="177">
                  <c:v>29.2958904109589</c:v>
                </c:pt>
                <c:pt idx="178">
                  <c:v>29.53972602739726</c:v>
                </c:pt>
                <c:pt idx="179">
                  <c:v>29.79178082191781</c:v>
                </c:pt>
              </c:numCache>
            </c:numRef>
          </c:xVal>
          <c:yVal>
            <c:numRef>
              <c:f>spotCurve_p3Spline_knot4!$L$3:$L$182</c:f>
              <c:numCache>
                <c:formatCode>General</c:formatCode>
                <c:ptCount val="180"/>
                <c:pt idx="0">
                  <c:v>-0.0125188394524827</c:v>
                </c:pt>
                <c:pt idx="1">
                  <c:v>0.00407166741184994</c:v>
                </c:pt>
                <c:pt idx="2">
                  <c:v>0.00566897715083314</c:v>
                </c:pt>
                <c:pt idx="3">
                  <c:v>-0.000347113555179135</c:v>
                </c:pt>
                <c:pt idx="4">
                  <c:v>0.0110163193925104</c:v>
                </c:pt>
                <c:pt idx="5">
                  <c:v>0.0102517789604661</c:v>
                </c:pt>
                <c:pt idx="6">
                  <c:v>0.00807268383368864</c:v>
                </c:pt>
                <c:pt idx="7">
                  <c:v>0.00807421553673748</c:v>
                </c:pt>
                <c:pt idx="8">
                  <c:v>0.0187077025302784</c:v>
                </c:pt>
                <c:pt idx="9">
                  <c:v>0.0197180184549808</c:v>
                </c:pt>
                <c:pt idx="10">
                  <c:v>0.0202252711787025</c:v>
                </c:pt>
                <c:pt idx="11">
                  <c:v>0.0198326924936936</c:v>
                </c:pt>
                <c:pt idx="12">
                  <c:v>0.0193580965772639</c:v>
                </c:pt>
                <c:pt idx="13">
                  <c:v>0.010648513105167</c:v>
                </c:pt>
                <c:pt idx="14">
                  <c:v>0.0205616697602267</c:v>
                </c:pt>
                <c:pt idx="15">
                  <c:v>-0.0013288014471442</c:v>
                </c:pt>
                <c:pt idx="16">
                  <c:v>-0.0123002576461317</c:v>
                </c:pt>
                <c:pt idx="17">
                  <c:v>-0.00823238604758103</c:v>
                </c:pt>
                <c:pt idx="18">
                  <c:v>-0.00576025388207313</c:v>
                </c:pt>
                <c:pt idx="19">
                  <c:v>-0.0119954722922841</c:v>
                </c:pt>
                <c:pt idx="20">
                  <c:v>-0.00951933294001605</c:v>
                </c:pt>
                <c:pt idx="21">
                  <c:v>-0.0124866299936173</c:v>
                </c:pt>
                <c:pt idx="22">
                  <c:v>-0.0112502009023387</c:v>
                </c:pt>
                <c:pt idx="23">
                  <c:v>-0.0052493820685271</c:v>
                </c:pt>
                <c:pt idx="24">
                  <c:v>-0.0124550456818042</c:v>
                </c:pt>
                <c:pt idx="25">
                  <c:v>-0.044311433060173</c:v>
                </c:pt>
                <c:pt idx="26">
                  <c:v>0.00134643334762075</c:v>
                </c:pt>
                <c:pt idx="27">
                  <c:v>-0.0118654653373937</c:v>
                </c:pt>
                <c:pt idx="28">
                  <c:v>-0.031272998466136</c:v>
                </c:pt>
                <c:pt idx="29">
                  <c:v>-0.0288892362342494</c:v>
                </c:pt>
                <c:pt idx="30">
                  <c:v>-0.0280598589132808</c:v>
                </c:pt>
                <c:pt idx="31">
                  <c:v>-0.0144288633899805</c:v>
                </c:pt>
                <c:pt idx="32">
                  <c:v>-0.0184634160521426</c:v>
                </c:pt>
                <c:pt idx="33">
                  <c:v>-0.0352145886304669</c:v>
                </c:pt>
                <c:pt idx="34">
                  <c:v>-0.0386935846561016</c:v>
                </c:pt>
                <c:pt idx="35">
                  <c:v>-0.0429283220981347</c:v>
                </c:pt>
                <c:pt idx="36">
                  <c:v>-0.0338161470891265</c:v>
                </c:pt>
                <c:pt idx="37">
                  <c:v>-0.0387314320153536</c:v>
                </c:pt>
                <c:pt idx="38">
                  <c:v>-0.0199235789578154</c:v>
                </c:pt>
                <c:pt idx="39">
                  <c:v>-0.0398042670600063</c:v>
                </c:pt>
                <c:pt idx="40">
                  <c:v>-0.0206386702796664</c:v>
                </c:pt>
                <c:pt idx="41">
                  <c:v>-0.0375094433101424</c:v>
                </c:pt>
                <c:pt idx="42">
                  <c:v>-0.0300675055384687</c:v>
                </c:pt>
                <c:pt idx="43">
                  <c:v>-0.0352748660430819</c:v>
                </c:pt>
                <c:pt idx="44">
                  <c:v>-0.00444849990952889</c:v>
                </c:pt>
                <c:pt idx="45">
                  <c:v>-0.0382763657849807</c:v>
                </c:pt>
                <c:pt idx="46">
                  <c:v>-0.0260975800484999</c:v>
                </c:pt>
                <c:pt idx="47">
                  <c:v>-0.0200009004387169</c:v>
                </c:pt>
                <c:pt idx="48">
                  <c:v>-0.0467597272389923</c:v>
                </c:pt>
                <c:pt idx="49">
                  <c:v>-0.0366363970161814</c:v>
                </c:pt>
                <c:pt idx="50">
                  <c:v>-0.0218410968581395</c:v>
                </c:pt>
                <c:pt idx="51">
                  <c:v>-0.0314143885221227</c:v>
                </c:pt>
                <c:pt idx="52">
                  <c:v>-0.0277146690335286</c:v>
                </c:pt>
                <c:pt idx="53">
                  <c:v>-0.0558197413929235</c:v>
                </c:pt>
                <c:pt idx="54">
                  <c:v>-0.0450459371509595</c:v>
                </c:pt>
                <c:pt idx="55">
                  <c:v>-0.0807901492531897</c:v>
                </c:pt>
                <c:pt idx="56">
                  <c:v>-0.0381080476793159</c:v>
                </c:pt>
                <c:pt idx="57">
                  <c:v>-0.0868440540591138</c:v>
                </c:pt>
                <c:pt idx="58">
                  <c:v>-0.0436527399557747</c:v>
                </c:pt>
                <c:pt idx="59">
                  <c:v>-0.0179319504886592</c:v>
                </c:pt>
                <c:pt idx="60">
                  <c:v>-0.00832022544679489</c:v>
                </c:pt>
                <c:pt idx="61">
                  <c:v>-7.3545757615534E-5</c:v>
                </c:pt>
                <c:pt idx="62">
                  <c:v>0.00619832669518416</c:v>
                </c:pt>
                <c:pt idx="63">
                  <c:v>-0.0510097146508883</c:v>
                </c:pt>
                <c:pt idx="64">
                  <c:v>0.0160603202695881</c:v>
                </c:pt>
                <c:pt idx="65">
                  <c:v>0.0172083970339543</c:v>
                </c:pt>
                <c:pt idx="66">
                  <c:v>0.00554267549239284</c:v>
                </c:pt>
                <c:pt idx="67">
                  <c:v>-0.0505242273164583</c:v>
                </c:pt>
                <c:pt idx="68">
                  <c:v>0.00878054619865054</c:v>
                </c:pt>
                <c:pt idx="69">
                  <c:v>0.0209036311274247</c:v>
                </c:pt>
                <c:pt idx="70">
                  <c:v>0.0280940335245674</c:v>
                </c:pt>
                <c:pt idx="71">
                  <c:v>0.0197983786998321</c:v>
                </c:pt>
                <c:pt idx="72">
                  <c:v>0.0311268931394011</c:v>
                </c:pt>
                <c:pt idx="73">
                  <c:v>0.0256398309082755</c:v>
                </c:pt>
                <c:pt idx="74">
                  <c:v>0.00984308119068089</c:v>
                </c:pt>
                <c:pt idx="75">
                  <c:v>-0.0359977953770993</c:v>
                </c:pt>
                <c:pt idx="76">
                  <c:v>0.0347351099593141</c:v>
                </c:pt>
                <c:pt idx="77">
                  <c:v>0.0493663851088399</c:v>
                </c:pt>
                <c:pt idx="78">
                  <c:v>0.0394251477672611</c:v>
                </c:pt>
                <c:pt idx="79">
                  <c:v>-0.0161815069184286</c:v>
                </c:pt>
                <c:pt idx="80">
                  <c:v>0.0618687077889888</c:v>
                </c:pt>
                <c:pt idx="81">
                  <c:v>0.0764664336741134</c:v>
                </c:pt>
                <c:pt idx="82">
                  <c:v>0.083632593202509</c:v>
                </c:pt>
                <c:pt idx="83">
                  <c:v>0.00215944576642357</c:v>
                </c:pt>
                <c:pt idx="84">
                  <c:v>0.062600713194243</c:v>
                </c:pt>
                <c:pt idx="85">
                  <c:v>0.0809262456489108</c:v>
                </c:pt>
                <c:pt idx="86">
                  <c:v>0.0948267196603041</c:v>
                </c:pt>
                <c:pt idx="87">
                  <c:v>-0.0211079228547106</c:v>
                </c:pt>
                <c:pt idx="88">
                  <c:v>0.0560419128603087</c:v>
                </c:pt>
                <c:pt idx="89">
                  <c:v>0.105964436998292</c:v>
                </c:pt>
                <c:pt idx="90">
                  <c:v>0.0771066025717317</c:v>
                </c:pt>
                <c:pt idx="91">
                  <c:v>0.0445530298877941</c:v>
                </c:pt>
                <c:pt idx="92">
                  <c:v>0.082357044441693</c:v>
                </c:pt>
                <c:pt idx="93">
                  <c:v>0.102271014645396</c:v>
                </c:pt>
                <c:pt idx="94">
                  <c:v>0.117567320437985</c:v>
                </c:pt>
                <c:pt idx="95">
                  <c:v>0.110928557213583</c:v>
                </c:pt>
                <c:pt idx="96">
                  <c:v>0.104194755576586</c:v>
                </c:pt>
                <c:pt idx="97">
                  <c:v>0.112953742912296</c:v>
                </c:pt>
                <c:pt idx="98">
                  <c:v>0.106828002626699</c:v>
                </c:pt>
                <c:pt idx="99">
                  <c:v>0.130199468846939</c:v>
                </c:pt>
                <c:pt idx="100">
                  <c:v>0.113388516019469</c:v>
                </c:pt>
                <c:pt idx="101">
                  <c:v>0.114166368711366</c:v>
                </c:pt>
                <c:pt idx="102">
                  <c:v>0.0991969081103434</c:v>
                </c:pt>
                <c:pt idx="103">
                  <c:v>0.0608826886263216</c:v>
                </c:pt>
                <c:pt idx="104">
                  <c:v>0.0894289891863593</c:v>
                </c:pt>
                <c:pt idx="105">
                  <c:v>0.0914507520208047</c:v>
                </c:pt>
                <c:pt idx="106">
                  <c:v>0.0513994378969187</c:v>
                </c:pt>
                <c:pt idx="107">
                  <c:v>0.061337331253597</c:v>
                </c:pt>
                <c:pt idx="108">
                  <c:v>0.0450222275609207</c:v>
                </c:pt>
                <c:pt idx="109">
                  <c:v>0.105421330037771</c:v>
                </c:pt>
                <c:pt idx="110">
                  <c:v>0.127853863294092</c:v>
                </c:pt>
                <c:pt idx="111">
                  <c:v>0.136768285424353</c:v>
                </c:pt>
                <c:pt idx="112">
                  <c:v>0.136563800693935</c:v>
                </c:pt>
                <c:pt idx="113">
                  <c:v>0.121895729992815</c:v>
                </c:pt>
                <c:pt idx="114">
                  <c:v>0.138812204912639</c:v>
                </c:pt>
                <c:pt idx="115">
                  <c:v>0.132157361422074</c:v>
                </c:pt>
                <c:pt idx="116">
                  <c:v>0.128368001298611</c:v>
                </c:pt>
                <c:pt idx="117">
                  <c:v>0.121893799078279</c:v>
                </c:pt>
                <c:pt idx="118">
                  <c:v>0.130834942789633</c:v>
                </c:pt>
                <c:pt idx="119">
                  <c:v>0.0892889205500893</c:v>
                </c:pt>
                <c:pt idx="120">
                  <c:v>0.102193410010301</c:v>
                </c:pt>
                <c:pt idx="121">
                  <c:v>0.101307747034753</c:v>
                </c:pt>
                <c:pt idx="122">
                  <c:v>0.105547747915466</c:v>
                </c:pt>
                <c:pt idx="123">
                  <c:v>0.10730107611522</c:v>
                </c:pt>
                <c:pt idx="124">
                  <c:v>0.082344660919091</c:v>
                </c:pt>
                <c:pt idx="125">
                  <c:v>0.0830033005848207</c:v>
                </c:pt>
                <c:pt idx="126">
                  <c:v>0.0604679507420229</c:v>
                </c:pt>
                <c:pt idx="127">
                  <c:v>0.0302150838443254</c:v>
                </c:pt>
                <c:pt idx="128">
                  <c:v>0.00942943004456253</c:v>
                </c:pt>
                <c:pt idx="129">
                  <c:v>-0.0478548958355986</c:v>
                </c:pt>
                <c:pt idx="130">
                  <c:v>-0.0772690448155373</c:v>
                </c:pt>
                <c:pt idx="131">
                  <c:v>-0.0917358417949145</c:v>
                </c:pt>
                <c:pt idx="132">
                  <c:v>-0.160484507518177</c:v>
                </c:pt>
                <c:pt idx="133">
                  <c:v>-0.242539594190617</c:v>
                </c:pt>
                <c:pt idx="134">
                  <c:v>-0.574298515575009</c:v>
                </c:pt>
                <c:pt idx="135">
                  <c:v>-0.696419174995896</c:v>
                </c:pt>
                <c:pt idx="136">
                  <c:v>-0.729505604064116</c:v>
                </c:pt>
                <c:pt idx="137">
                  <c:v>-0.855528042810221</c:v>
                </c:pt>
                <c:pt idx="138">
                  <c:v>-0.971638888740983</c:v>
                </c:pt>
                <c:pt idx="139">
                  <c:v>-1.297914918025185</c:v>
                </c:pt>
                <c:pt idx="140">
                  <c:v>-1.679440822735302</c:v>
                </c:pt>
                <c:pt idx="141">
                  <c:v>-1.230676252823173</c:v>
                </c:pt>
                <c:pt idx="142">
                  <c:v>-1.037786879434918</c:v>
                </c:pt>
                <c:pt idx="143">
                  <c:v>-0.579114372337017</c:v>
                </c:pt>
                <c:pt idx="144">
                  <c:v>-0.495959291778547</c:v>
                </c:pt>
                <c:pt idx="145">
                  <c:v>-0.169060165151436</c:v>
                </c:pt>
                <c:pt idx="146">
                  <c:v>0.09301441964773</c:v>
                </c:pt>
                <c:pt idx="147">
                  <c:v>0.184731472715441</c:v>
                </c:pt>
                <c:pt idx="148">
                  <c:v>0.310130176171185</c:v>
                </c:pt>
                <c:pt idx="149">
                  <c:v>0.346544105846846</c:v>
                </c:pt>
                <c:pt idx="150">
                  <c:v>0.45130083823085</c:v>
                </c:pt>
                <c:pt idx="151">
                  <c:v>0.515835961219977</c:v>
                </c:pt>
                <c:pt idx="152">
                  <c:v>0.559435665526451</c:v>
                </c:pt>
                <c:pt idx="153">
                  <c:v>0.539705120538002</c:v>
                </c:pt>
                <c:pt idx="154">
                  <c:v>0.601111614287845</c:v>
                </c:pt>
                <c:pt idx="155">
                  <c:v>0.573449598406938</c:v>
                </c:pt>
                <c:pt idx="156">
                  <c:v>0.593174073430532</c:v>
                </c:pt>
                <c:pt idx="157">
                  <c:v>0.600514830791496</c:v>
                </c:pt>
                <c:pt idx="158">
                  <c:v>0.568753626986066</c:v>
                </c:pt>
                <c:pt idx="159">
                  <c:v>0.588343983472399</c:v>
                </c:pt>
                <c:pt idx="160">
                  <c:v>0.645858100885277</c:v>
                </c:pt>
                <c:pt idx="161">
                  <c:v>0.688891307401761</c:v>
                </c:pt>
                <c:pt idx="162">
                  <c:v>0.617285987709337</c:v>
                </c:pt>
                <c:pt idx="163">
                  <c:v>0.679449909907959</c:v>
                </c:pt>
                <c:pt idx="164">
                  <c:v>0.583094311187139</c:v>
                </c:pt>
                <c:pt idx="165">
                  <c:v>0.481139153278406</c:v>
                </c:pt>
                <c:pt idx="166">
                  <c:v>0.396389617243273</c:v>
                </c:pt>
                <c:pt idx="167">
                  <c:v>0.28472673720843</c:v>
                </c:pt>
                <c:pt idx="168">
                  <c:v>0.183286154967675</c:v>
                </c:pt>
                <c:pt idx="169">
                  <c:v>0.122225280458039</c:v>
                </c:pt>
                <c:pt idx="170">
                  <c:v>0.0731457638533897</c:v>
                </c:pt>
                <c:pt idx="171">
                  <c:v>0.000392732000932483</c:v>
                </c:pt>
                <c:pt idx="172">
                  <c:v>-0.058811273069864</c:v>
                </c:pt>
                <c:pt idx="173">
                  <c:v>-0.247200899940609</c:v>
                </c:pt>
                <c:pt idx="174">
                  <c:v>-0.379409212167289</c:v>
                </c:pt>
                <c:pt idx="175">
                  <c:v>-0.596488645395567</c:v>
                </c:pt>
                <c:pt idx="176">
                  <c:v>-0.625658562386434</c:v>
                </c:pt>
                <c:pt idx="177">
                  <c:v>-0.765583939096473</c:v>
                </c:pt>
                <c:pt idx="178">
                  <c:v>-0.915177368343407</c:v>
                </c:pt>
                <c:pt idx="179">
                  <c:v>-1.146947189518272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05-4B37-A3E2-480E273532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2307376"/>
        <c:axId val="662310080"/>
      </c:scatterChart>
      <c:valAx>
        <c:axId val="662307376"/>
        <c:scaling>
          <c:orientation val="minMax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to Maturity (years)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310080"/>
        <c:crosses val="autoZero"/>
        <c:crossBetween val="midCat"/>
      </c:valAx>
      <c:valAx>
        <c:axId val="66231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Error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307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Spot Rate Curve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spotCurve_p3Spline_knot4!$B$3:$B$182</c:f>
              <c:numCache>
                <c:formatCode>0.00</c:formatCode>
                <c:ptCount val="180"/>
                <c:pt idx="0">
                  <c:v>0.520547945205479</c:v>
                </c:pt>
                <c:pt idx="1">
                  <c:v>0.564383561643836</c:v>
                </c:pt>
                <c:pt idx="2">
                  <c:v>0.605479452054794</c:v>
                </c:pt>
                <c:pt idx="3">
                  <c:v>0.646575342465753</c:v>
                </c:pt>
                <c:pt idx="4">
                  <c:v>0.687671232876712</c:v>
                </c:pt>
                <c:pt idx="5">
                  <c:v>0.731506849315068</c:v>
                </c:pt>
                <c:pt idx="6">
                  <c:v>0.772602739726027</c:v>
                </c:pt>
                <c:pt idx="7">
                  <c:v>0.816438356164383</c:v>
                </c:pt>
                <c:pt idx="8">
                  <c:v>0.857534246575342</c:v>
                </c:pt>
                <c:pt idx="9">
                  <c:v>0.898630136986301</c:v>
                </c:pt>
                <c:pt idx="10">
                  <c:v>0.93972602739726</c:v>
                </c:pt>
                <c:pt idx="11">
                  <c:v>0.983561643835616</c:v>
                </c:pt>
                <c:pt idx="12">
                  <c:v>1.024657534246575</c:v>
                </c:pt>
                <c:pt idx="13">
                  <c:v>1.065753424657534</c:v>
                </c:pt>
                <c:pt idx="14">
                  <c:v>1.106849315068493</c:v>
                </c:pt>
                <c:pt idx="15">
                  <c:v>1.15068493150685</c:v>
                </c:pt>
                <c:pt idx="16">
                  <c:v>1.191780821917808</c:v>
                </c:pt>
                <c:pt idx="17">
                  <c:v>1.235616438356164</c:v>
                </c:pt>
                <c:pt idx="18">
                  <c:v>1.276712328767123</c:v>
                </c:pt>
                <c:pt idx="19">
                  <c:v>1.312328767123288</c:v>
                </c:pt>
                <c:pt idx="20">
                  <c:v>1.353424657534247</c:v>
                </c:pt>
                <c:pt idx="21">
                  <c:v>1.397260273972603</c:v>
                </c:pt>
                <c:pt idx="22">
                  <c:v>1.438356164383562</c:v>
                </c:pt>
                <c:pt idx="23">
                  <c:v>1.47945205479452</c:v>
                </c:pt>
                <c:pt idx="24">
                  <c:v>1.52054794520548</c:v>
                </c:pt>
                <c:pt idx="25">
                  <c:v>1.564383561643835</c:v>
                </c:pt>
                <c:pt idx="26">
                  <c:v>1.605479452054794</c:v>
                </c:pt>
                <c:pt idx="27">
                  <c:v>1.646575342465753</c:v>
                </c:pt>
                <c:pt idx="28">
                  <c:v>1.687671232876712</c:v>
                </c:pt>
                <c:pt idx="29">
                  <c:v>1.731506849315068</c:v>
                </c:pt>
                <c:pt idx="30">
                  <c:v>1.772602739726027</c:v>
                </c:pt>
                <c:pt idx="31">
                  <c:v>1.816438356164383</c:v>
                </c:pt>
                <c:pt idx="32">
                  <c:v>1.857534246575342</c:v>
                </c:pt>
                <c:pt idx="33">
                  <c:v>1.898630136986301</c:v>
                </c:pt>
                <c:pt idx="34">
                  <c:v>1.93972602739726</c:v>
                </c:pt>
                <c:pt idx="35">
                  <c:v>1.983561643835616</c:v>
                </c:pt>
                <c:pt idx="36">
                  <c:v>2.024657534246575</c:v>
                </c:pt>
                <c:pt idx="37">
                  <c:v>2.065753424657534</c:v>
                </c:pt>
                <c:pt idx="38">
                  <c:v>2.106849315068493</c:v>
                </c:pt>
                <c:pt idx="39">
                  <c:v>2.150684931506849</c:v>
                </c:pt>
                <c:pt idx="40">
                  <c:v>2.191780821917808</c:v>
                </c:pt>
                <c:pt idx="41">
                  <c:v>2.235616438356165</c:v>
                </c:pt>
                <c:pt idx="42">
                  <c:v>2.276712328767123</c:v>
                </c:pt>
                <c:pt idx="43">
                  <c:v>2.315068493150685</c:v>
                </c:pt>
                <c:pt idx="44">
                  <c:v>2.356164383561644</c:v>
                </c:pt>
                <c:pt idx="45">
                  <c:v>2.4</c:v>
                </c:pt>
                <c:pt idx="46">
                  <c:v>2.482191780821917</c:v>
                </c:pt>
                <c:pt idx="47">
                  <c:v>2.523287671232876</c:v>
                </c:pt>
                <c:pt idx="48">
                  <c:v>2.567123287671232</c:v>
                </c:pt>
                <c:pt idx="49">
                  <c:v>2.608219178082192</c:v>
                </c:pt>
                <c:pt idx="50">
                  <c:v>2.649315068493151</c:v>
                </c:pt>
                <c:pt idx="51">
                  <c:v>2.690410958904109</c:v>
                </c:pt>
                <c:pt idx="52">
                  <c:v>2.734246575342466</c:v>
                </c:pt>
                <c:pt idx="53">
                  <c:v>2.775342465753424</c:v>
                </c:pt>
                <c:pt idx="54">
                  <c:v>2.819178082191781</c:v>
                </c:pt>
                <c:pt idx="55">
                  <c:v>2.860273972602739</c:v>
                </c:pt>
                <c:pt idx="56">
                  <c:v>2.901369863013699</c:v>
                </c:pt>
                <c:pt idx="57">
                  <c:v>2.942465753424658</c:v>
                </c:pt>
                <c:pt idx="58">
                  <c:v>2.986301369863014</c:v>
                </c:pt>
                <c:pt idx="59">
                  <c:v>3.027397260273972</c:v>
                </c:pt>
                <c:pt idx="60">
                  <c:v>3.068493150684931</c:v>
                </c:pt>
                <c:pt idx="61">
                  <c:v>3.153424657534246</c:v>
                </c:pt>
                <c:pt idx="62">
                  <c:v>3.238356164383561</c:v>
                </c:pt>
                <c:pt idx="63">
                  <c:v>3.27945205479452</c:v>
                </c:pt>
                <c:pt idx="64">
                  <c:v>3.315068493150685</c:v>
                </c:pt>
                <c:pt idx="65">
                  <c:v>3.4</c:v>
                </c:pt>
                <c:pt idx="66">
                  <c:v>3.482191780821917</c:v>
                </c:pt>
                <c:pt idx="67">
                  <c:v>3.523287671232876</c:v>
                </c:pt>
                <c:pt idx="68">
                  <c:v>3.567123287671232</c:v>
                </c:pt>
                <c:pt idx="69">
                  <c:v>3.649315068493151</c:v>
                </c:pt>
                <c:pt idx="70">
                  <c:v>3.734246575342466</c:v>
                </c:pt>
                <c:pt idx="71">
                  <c:v>3.775342465753424</c:v>
                </c:pt>
                <c:pt idx="72">
                  <c:v>3.819178082191781</c:v>
                </c:pt>
                <c:pt idx="73">
                  <c:v>3.901369863013699</c:v>
                </c:pt>
                <c:pt idx="74">
                  <c:v>3.986301369863014</c:v>
                </c:pt>
                <c:pt idx="75">
                  <c:v>4.027397260273973</c:v>
                </c:pt>
                <c:pt idx="76">
                  <c:v>4.068493150684931</c:v>
                </c:pt>
                <c:pt idx="77">
                  <c:v>4.153424657534247</c:v>
                </c:pt>
                <c:pt idx="78">
                  <c:v>4.23835616438356</c:v>
                </c:pt>
                <c:pt idx="79">
                  <c:v>4.27945205479452</c:v>
                </c:pt>
                <c:pt idx="80">
                  <c:v>4.315068493150684</c:v>
                </c:pt>
                <c:pt idx="81">
                  <c:v>4.4</c:v>
                </c:pt>
                <c:pt idx="82">
                  <c:v>4.482191780821917</c:v>
                </c:pt>
                <c:pt idx="83">
                  <c:v>4.523287671232877</c:v>
                </c:pt>
                <c:pt idx="84">
                  <c:v>4.567123287671233</c:v>
                </c:pt>
                <c:pt idx="85">
                  <c:v>4.64931506849315</c:v>
                </c:pt>
                <c:pt idx="86">
                  <c:v>4.734246575342465</c:v>
                </c:pt>
                <c:pt idx="87">
                  <c:v>4.775342465753424</c:v>
                </c:pt>
                <c:pt idx="88">
                  <c:v>4.81917808219178</c:v>
                </c:pt>
                <c:pt idx="89">
                  <c:v>4.901369863013698</c:v>
                </c:pt>
                <c:pt idx="90">
                  <c:v>4.986301369863014</c:v>
                </c:pt>
                <c:pt idx="91">
                  <c:v>5.027397260273973</c:v>
                </c:pt>
                <c:pt idx="92">
                  <c:v>5.068493150684931</c:v>
                </c:pt>
                <c:pt idx="93">
                  <c:v>5.153424657534247</c:v>
                </c:pt>
                <c:pt idx="94">
                  <c:v>5.23835616438356</c:v>
                </c:pt>
                <c:pt idx="95">
                  <c:v>5.27945205479452</c:v>
                </c:pt>
                <c:pt idx="96">
                  <c:v>5.315068493150684</c:v>
                </c:pt>
                <c:pt idx="97">
                  <c:v>5.4</c:v>
                </c:pt>
                <c:pt idx="98">
                  <c:v>5.482191780821917</c:v>
                </c:pt>
                <c:pt idx="99">
                  <c:v>5.523287671232877</c:v>
                </c:pt>
                <c:pt idx="100">
                  <c:v>5.567123287671233</c:v>
                </c:pt>
                <c:pt idx="101">
                  <c:v>5.64931506849315</c:v>
                </c:pt>
                <c:pt idx="102">
                  <c:v>5.734246575342465</c:v>
                </c:pt>
                <c:pt idx="103">
                  <c:v>5.775342465753424</c:v>
                </c:pt>
                <c:pt idx="104">
                  <c:v>5.81917808219178</c:v>
                </c:pt>
                <c:pt idx="105">
                  <c:v>5.901369863013698</c:v>
                </c:pt>
                <c:pt idx="106">
                  <c:v>5.986301369863014</c:v>
                </c:pt>
                <c:pt idx="107">
                  <c:v>6.027397260273973</c:v>
                </c:pt>
                <c:pt idx="108">
                  <c:v>6.068493150684931</c:v>
                </c:pt>
                <c:pt idx="109">
                  <c:v>6.153424657534247</c:v>
                </c:pt>
                <c:pt idx="110">
                  <c:v>6.27945205479452</c:v>
                </c:pt>
                <c:pt idx="111">
                  <c:v>6.317808219178082</c:v>
                </c:pt>
                <c:pt idx="112">
                  <c:v>6.402739726027397</c:v>
                </c:pt>
                <c:pt idx="113">
                  <c:v>6.484931506849315</c:v>
                </c:pt>
                <c:pt idx="114">
                  <c:v>6.526027397260274</c:v>
                </c:pt>
                <c:pt idx="115">
                  <c:v>6.56986301369863</c:v>
                </c:pt>
                <c:pt idx="116">
                  <c:v>6.652054794520548</c:v>
                </c:pt>
                <c:pt idx="117">
                  <c:v>6.736986301369863</c:v>
                </c:pt>
                <c:pt idx="118">
                  <c:v>6.77808219178082</c:v>
                </c:pt>
                <c:pt idx="119">
                  <c:v>6.821917808219178</c:v>
                </c:pt>
                <c:pt idx="120">
                  <c:v>6.904109589041096</c:v>
                </c:pt>
                <c:pt idx="121">
                  <c:v>6.98904109589041</c:v>
                </c:pt>
                <c:pt idx="122">
                  <c:v>7.03013698630137</c:v>
                </c:pt>
                <c:pt idx="123">
                  <c:v>7.282191780821917</c:v>
                </c:pt>
                <c:pt idx="124">
                  <c:v>7.526027397260274</c:v>
                </c:pt>
                <c:pt idx="125">
                  <c:v>7.77808219178082</c:v>
                </c:pt>
                <c:pt idx="126">
                  <c:v>8.03013698630137</c:v>
                </c:pt>
                <c:pt idx="127">
                  <c:v>8.282191780821918</c:v>
                </c:pt>
                <c:pt idx="128">
                  <c:v>8.526027397260273</c:v>
                </c:pt>
                <c:pt idx="129">
                  <c:v>8.778082191780822</c:v>
                </c:pt>
                <c:pt idx="130">
                  <c:v>9.03013698630137</c:v>
                </c:pt>
                <c:pt idx="131">
                  <c:v>9.282191780821918</c:v>
                </c:pt>
                <c:pt idx="132">
                  <c:v>9.526027397260273</c:v>
                </c:pt>
                <c:pt idx="133">
                  <c:v>9.778082191780822</c:v>
                </c:pt>
                <c:pt idx="134">
                  <c:v>10.78082191780822</c:v>
                </c:pt>
                <c:pt idx="135">
                  <c:v>11.03287671232877</c:v>
                </c:pt>
                <c:pt idx="136">
                  <c:v>11.28493150684931</c:v>
                </c:pt>
                <c:pt idx="137">
                  <c:v>11.78082191780822</c:v>
                </c:pt>
                <c:pt idx="138">
                  <c:v>12.52876712328767</c:v>
                </c:pt>
                <c:pt idx="139">
                  <c:v>13.28493150684931</c:v>
                </c:pt>
                <c:pt idx="140">
                  <c:v>18.28767123287671</c:v>
                </c:pt>
                <c:pt idx="141">
                  <c:v>19.29041095890411</c:v>
                </c:pt>
                <c:pt idx="142">
                  <c:v>19.53424657534246</c:v>
                </c:pt>
                <c:pt idx="143">
                  <c:v>20.29041095890411</c:v>
                </c:pt>
                <c:pt idx="144">
                  <c:v>20.53424657534246</c:v>
                </c:pt>
                <c:pt idx="145">
                  <c:v>21.29041095890411</c:v>
                </c:pt>
                <c:pt idx="146">
                  <c:v>21.53424657534246</c:v>
                </c:pt>
                <c:pt idx="147">
                  <c:v>21.78630136986301</c:v>
                </c:pt>
                <c:pt idx="148">
                  <c:v>22.03835616438356</c:v>
                </c:pt>
                <c:pt idx="149">
                  <c:v>22.29041095890411</c:v>
                </c:pt>
                <c:pt idx="150">
                  <c:v>22.53698630136986</c:v>
                </c:pt>
                <c:pt idx="151">
                  <c:v>22.78904109589041</c:v>
                </c:pt>
                <c:pt idx="152">
                  <c:v>23.04109589041096</c:v>
                </c:pt>
                <c:pt idx="153">
                  <c:v>23.29315068493151</c:v>
                </c:pt>
                <c:pt idx="154">
                  <c:v>23.53698630136986</c:v>
                </c:pt>
                <c:pt idx="155">
                  <c:v>23.78904109589041</c:v>
                </c:pt>
                <c:pt idx="156">
                  <c:v>24.04109589041096</c:v>
                </c:pt>
                <c:pt idx="157">
                  <c:v>24.29315068493151</c:v>
                </c:pt>
                <c:pt idx="158">
                  <c:v>24.53698630136986</c:v>
                </c:pt>
                <c:pt idx="159">
                  <c:v>24.78904109589041</c:v>
                </c:pt>
                <c:pt idx="160">
                  <c:v>25.04109589041096</c:v>
                </c:pt>
                <c:pt idx="161">
                  <c:v>25.29315068493151</c:v>
                </c:pt>
                <c:pt idx="162">
                  <c:v>25.53698630136986</c:v>
                </c:pt>
                <c:pt idx="163">
                  <c:v>25.78904109589041</c:v>
                </c:pt>
                <c:pt idx="164">
                  <c:v>26.04109589041096</c:v>
                </c:pt>
                <c:pt idx="165">
                  <c:v>26.29315068493151</c:v>
                </c:pt>
                <c:pt idx="166">
                  <c:v>26.53972602739726</c:v>
                </c:pt>
                <c:pt idx="167">
                  <c:v>26.79178082191781</c:v>
                </c:pt>
                <c:pt idx="168">
                  <c:v>27.04383561643836</c:v>
                </c:pt>
                <c:pt idx="169">
                  <c:v>27.2958904109589</c:v>
                </c:pt>
                <c:pt idx="170">
                  <c:v>27.53972602739726</c:v>
                </c:pt>
                <c:pt idx="171">
                  <c:v>27.79178082191781</c:v>
                </c:pt>
                <c:pt idx="172">
                  <c:v>28.04383561643836</c:v>
                </c:pt>
                <c:pt idx="173">
                  <c:v>28.2958904109589</c:v>
                </c:pt>
                <c:pt idx="174">
                  <c:v>28.53972602739726</c:v>
                </c:pt>
                <c:pt idx="175">
                  <c:v>28.79178082191781</c:v>
                </c:pt>
                <c:pt idx="176">
                  <c:v>29.04383561643836</c:v>
                </c:pt>
                <c:pt idx="177">
                  <c:v>29.2958904109589</c:v>
                </c:pt>
                <c:pt idx="178">
                  <c:v>29.53972602739726</c:v>
                </c:pt>
                <c:pt idx="179">
                  <c:v>29.79178082191781</c:v>
                </c:pt>
              </c:numCache>
            </c:numRef>
          </c:xVal>
          <c:yVal>
            <c:numRef>
              <c:f>spotCurve_p3Spline_knot4!$AD$3:$AD$182</c:f>
              <c:numCache>
                <c:formatCode>General</c:formatCode>
                <c:ptCount val="180"/>
                <c:pt idx="0">
                  <c:v>0.0129938971487433</c:v>
                </c:pt>
                <c:pt idx="1">
                  <c:v>0.0132516251471452</c:v>
                </c:pt>
                <c:pt idx="2">
                  <c:v>0.0134690977353434</c:v>
                </c:pt>
                <c:pt idx="3">
                  <c:v>0.0136651703802112</c:v>
                </c:pt>
                <c:pt idx="4">
                  <c:v>0.0138417688061273</c:v>
                </c:pt>
                <c:pt idx="5">
                  <c:v>0.014010845288113</c:v>
                </c:pt>
                <c:pt idx="6">
                  <c:v>0.0141532994014489</c:v>
                </c:pt>
                <c:pt idx="7">
                  <c:v>0.0142903419408375</c:v>
                </c:pt>
                <c:pt idx="8">
                  <c:v>0.0144068767243841</c:v>
                </c:pt>
                <c:pt idx="9">
                  <c:v>0.0145138226741229</c:v>
                </c:pt>
                <c:pt idx="10">
                  <c:v>0.0146131055144327</c:v>
                </c:pt>
                <c:pt idx="11">
                  <c:v>0.0147127305058232</c:v>
                </c:pt>
                <c:pt idx="12">
                  <c:v>0.0148022134544757</c:v>
                </c:pt>
                <c:pt idx="13">
                  <c:v>0.0148888327712691</c:v>
                </c:pt>
                <c:pt idx="14">
                  <c:v>0.0149727222389314</c:v>
                </c:pt>
                <c:pt idx="15">
                  <c:v>0.015059324404247</c:v>
                </c:pt>
                <c:pt idx="16">
                  <c:v>0.0151379349029742</c:v>
                </c:pt>
                <c:pt idx="17">
                  <c:v>0.015219166905422</c:v>
                </c:pt>
                <c:pt idx="18">
                  <c:v>0.0152929873177073</c:v>
                </c:pt>
                <c:pt idx="19">
                  <c:v>0.0153552280313631</c:v>
                </c:pt>
                <c:pt idx="20">
                  <c:v>0.0154251421188906</c:v>
                </c:pt>
                <c:pt idx="21">
                  <c:v>0.0154975941914063</c:v>
                </c:pt>
                <c:pt idx="22">
                  <c:v>0.015563648646269</c:v>
                </c:pt>
                <c:pt idx="23">
                  <c:v>0.0156280110462628</c:v>
                </c:pt>
                <c:pt idx="24">
                  <c:v>0.0156907958539901</c:v>
                </c:pt>
                <c:pt idx="25">
                  <c:v>0.0157561564251635</c:v>
                </c:pt>
                <c:pt idx="26">
                  <c:v>0.0158160435948092</c:v>
                </c:pt>
                <c:pt idx="27">
                  <c:v>0.015874704190836</c:v>
                </c:pt>
                <c:pt idx="28">
                  <c:v>0.0159322526758463</c:v>
                </c:pt>
                <c:pt idx="29">
                  <c:v>0.0159925408998992</c:v>
                </c:pt>
                <c:pt idx="30">
                  <c:v>0.0160481537414111</c:v>
                </c:pt>
                <c:pt idx="31">
                  <c:v>0.0161066380163954</c:v>
                </c:pt>
                <c:pt idx="32">
                  <c:v>0.016160804096902</c:v>
                </c:pt>
                <c:pt idx="33">
                  <c:v>0.0162144456410847</c:v>
                </c:pt>
                <c:pt idx="34">
                  <c:v>0.0162676771115459</c:v>
                </c:pt>
                <c:pt idx="35">
                  <c:v>0.016324134321187</c:v>
                </c:pt>
                <c:pt idx="36">
                  <c:v>0.0163768771044244</c:v>
                </c:pt>
                <c:pt idx="37">
                  <c:v>0.0164294943241731</c:v>
                </c:pt>
                <c:pt idx="38">
                  <c:v>0.0164819926935955</c:v>
                </c:pt>
                <c:pt idx="39">
                  <c:v>0.016537866209742</c:v>
                </c:pt>
                <c:pt idx="40">
                  <c:v>0.0165901365470632</c:v>
                </c:pt>
                <c:pt idx="41">
                  <c:v>0.0166457794747448</c:v>
                </c:pt>
                <c:pt idx="42">
                  <c:v>0.0166978454907956</c:v>
                </c:pt>
                <c:pt idx="43">
                  <c:v>0.0167463588093962</c:v>
                </c:pt>
                <c:pt idx="44">
                  <c:v>0.0167982551517744</c:v>
                </c:pt>
                <c:pt idx="45">
                  <c:v>0.0168535236272131</c:v>
                </c:pt>
                <c:pt idx="46">
                  <c:v>0.0169569313061444</c:v>
                </c:pt>
                <c:pt idx="47">
                  <c:v>0.0170085384763355</c:v>
                </c:pt>
                <c:pt idx="48">
                  <c:v>0.0170635233850659</c:v>
                </c:pt>
                <c:pt idx="49">
                  <c:v>0.0171150187827131</c:v>
                </c:pt>
                <c:pt idx="50">
                  <c:v>0.0171664686090842</c:v>
                </c:pt>
                <c:pt idx="51">
                  <c:v>0.0172178784156223</c:v>
                </c:pt>
                <c:pt idx="52">
                  <c:v>0.0172726776867474</c:v>
                </c:pt>
                <c:pt idx="53">
                  <c:v>0.0173240223775375</c:v>
                </c:pt>
                <c:pt idx="54">
                  <c:v>0.0173787648376411</c:v>
                </c:pt>
                <c:pt idx="55">
                  <c:v>0.017430068123514</c:v>
                </c:pt>
                <c:pt idx="56">
                  <c:v>0.0174813598869624</c:v>
                </c:pt>
                <c:pt idx="57">
                  <c:v>0.0175326456794296</c:v>
                </c:pt>
                <c:pt idx="58">
                  <c:v>0.0175873501982798</c:v>
                </c:pt>
                <c:pt idx="59">
                  <c:v>0.0176386405209901</c:v>
                </c:pt>
                <c:pt idx="60">
                  <c:v>0.0176899320648599</c:v>
                </c:pt>
                <c:pt idx="61">
                  <c:v>0.0177958998190363</c:v>
                </c:pt>
                <c:pt idx="62">
                  <c:v>0.0179017544836674</c:v>
                </c:pt>
                <c:pt idx="63">
                  <c:v>0.0179529101082606</c:v>
                </c:pt>
                <c:pt idx="64">
                  <c:v>0.0179972014127673</c:v>
                </c:pt>
                <c:pt idx="65">
                  <c:v>0.018102619858343</c:v>
                </c:pt>
                <c:pt idx="66">
                  <c:v>0.0182043097465604</c:v>
                </c:pt>
                <c:pt idx="67">
                  <c:v>0.0182550107647034</c:v>
                </c:pt>
                <c:pt idx="68">
                  <c:v>0.0183089725525255</c:v>
                </c:pt>
                <c:pt idx="69">
                  <c:v>0.0184097813165909</c:v>
                </c:pt>
                <c:pt idx="70">
                  <c:v>0.0185133787722524</c:v>
                </c:pt>
                <c:pt idx="71">
                  <c:v>0.0185632745377818</c:v>
                </c:pt>
                <c:pt idx="72">
                  <c:v>0.0186163161298562</c:v>
                </c:pt>
                <c:pt idx="73">
                  <c:v>0.0187152290868051</c:v>
                </c:pt>
                <c:pt idx="74">
                  <c:v>0.0188166339894536</c:v>
                </c:pt>
                <c:pt idx="75">
                  <c:v>0.0188653840965491</c:v>
                </c:pt>
                <c:pt idx="76">
                  <c:v>0.0189139214773275</c:v>
                </c:pt>
                <c:pt idx="77">
                  <c:v>0.0190135601075289</c:v>
                </c:pt>
                <c:pt idx="78">
                  <c:v>0.0191122970333469</c:v>
                </c:pt>
                <c:pt idx="79">
                  <c:v>0.0191597506799287</c:v>
                </c:pt>
                <c:pt idx="80">
                  <c:v>0.0192007077335156</c:v>
                </c:pt>
                <c:pt idx="81">
                  <c:v>0.0192977417809662</c:v>
                </c:pt>
                <c:pt idx="82">
                  <c:v>0.019390800381948</c:v>
                </c:pt>
                <c:pt idx="83">
                  <c:v>0.0194370192639647</c:v>
                </c:pt>
                <c:pt idx="84">
                  <c:v>0.0194860921176352</c:v>
                </c:pt>
                <c:pt idx="85">
                  <c:v>0.0195774736085959</c:v>
                </c:pt>
                <c:pt idx="86">
                  <c:v>0.0196710416286692</c:v>
                </c:pt>
                <c:pt idx="87">
                  <c:v>0.0197160042588092</c:v>
                </c:pt>
                <c:pt idx="88">
                  <c:v>0.0197637407887273</c:v>
                </c:pt>
                <c:pt idx="89">
                  <c:v>0.0198526269064912</c:v>
                </c:pt>
                <c:pt idx="90">
                  <c:v>0.019943630397587</c:v>
                </c:pt>
                <c:pt idx="91">
                  <c:v>0.0199873572435283</c:v>
                </c:pt>
                <c:pt idx="92">
                  <c:v>0.0200308845435241</c:v>
                </c:pt>
                <c:pt idx="93">
                  <c:v>0.0201202109618071</c:v>
                </c:pt>
                <c:pt idx="94">
                  <c:v>0.0202086922237934</c:v>
                </c:pt>
                <c:pt idx="95">
                  <c:v>0.0202512037532141</c:v>
                </c:pt>
                <c:pt idx="96">
                  <c:v>0.0202878883480138</c:v>
                </c:pt>
                <c:pt idx="97">
                  <c:v>0.0203747743554107</c:v>
                </c:pt>
                <c:pt idx="98">
                  <c:v>0.0204580661137801</c:v>
                </c:pt>
                <c:pt idx="99">
                  <c:v>0.0204994214339904</c:v>
                </c:pt>
                <c:pt idx="100">
                  <c:v>0.0205433210814554</c:v>
                </c:pt>
                <c:pt idx="101">
                  <c:v>0.0206250434124246</c:v>
                </c:pt>
                <c:pt idx="102">
                  <c:v>0.0207086859365277</c:v>
                </c:pt>
                <c:pt idx="103">
                  <c:v>0.0207488662081492</c:v>
                </c:pt>
                <c:pt idx="104">
                  <c:v>0.0207915161487023</c:v>
                </c:pt>
                <c:pt idx="105">
                  <c:v>0.0208709055130507</c:v>
                </c:pt>
                <c:pt idx="106">
                  <c:v>0.0209521513283047</c:v>
                </c:pt>
                <c:pt idx="107">
                  <c:v>0.0209911770190155</c:v>
                </c:pt>
                <c:pt idx="108">
                  <c:v>0.0210300164034474</c:v>
                </c:pt>
                <c:pt idx="109">
                  <c:v>0.0211096964179302</c:v>
                </c:pt>
                <c:pt idx="110">
                  <c:v>0.0212264794016814</c:v>
                </c:pt>
                <c:pt idx="111">
                  <c:v>0.0212616797842457</c:v>
                </c:pt>
                <c:pt idx="112">
                  <c:v>0.0213390584955544</c:v>
                </c:pt>
                <c:pt idx="113">
                  <c:v>0.0214132036336272</c:v>
                </c:pt>
                <c:pt idx="114">
                  <c:v>0.0214500055575985</c:v>
                </c:pt>
                <c:pt idx="115">
                  <c:v>0.0214890628821109</c:v>
                </c:pt>
                <c:pt idx="116">
                  <c:v>0.0215617465704253</c:v>
                </c:pt>
                <c:pt idx="117">
                  <c:v>0.0216361049522334</c:v>
                </c:pt>
                <c:pt idx="118">
                  <c:v>0.0216718132533787</c:v>
                </c:pt>
                <c:pt idx="119">
                  <c:v>0.0217097077251261</c:v>
                </c:pt>
                <c:pt idx="120">
                  <c:v>0.0217802212983452</c:v>
                </c:pt>
                <c:pt idx="121">
                  <c:v>0.0218523512512139</c:v>
                </c:pt>
                <c:pt idx="122">
                  <c:v>0.0218869863972112</c:v>
                </c:pt>
                <c:pt idx="123">
                  <c:v>0.022095650524188</c:v>
                </c:pt>
                <c:pt idx="124">
                  <c:v>0.022291434447553</c:v>
                </c:pt>
                <c:pt idx="125">
                  <c:v>0.022487659229548</c:v>
                </c:pt>
                <c:pt idx="126">
                  <c:v>0.0226777475064282</c:v>
                </c:pt>
                <c:pt idx="127">
                  <c:v>0.0228618248132855</c:v>
                </c:pt>
                <c:pt idx="128">
                  <c:v>0.0230342976113052</c:v>
                </c:pt>
                <c:pt idx="129">
                  <c:v>0.0232069154261889</c:v>
                </c:pt>
                <c:pt idx="130">
                  <c:v>0.0233738947827906</c:v>
                </c:pt>
                <c:pt idx="131">
                  <c:v>0.0235353612162025</c:v>
                </c:pt>
                <c:pt idx="132">
                  <c:v>0.0236864344025071</c:v>
                </c:pt>
                <c:pt idx="133">
                  <c:v>0.0238374211969534</c:v>
                </c:pt>
                <c:pt idx="134">
                  <c:v>0.0243884176823208</c:v>
                </c:pt>
                <c:pt idx="135">
                  <c:v>0.0245150572675743</c:v>
                </c:pt>
                <c:pt idx="136">
                  <c:v>0.0246371813878157</c:v>
                </c:pt>
                <c:pt idx="137">
                  <c:v>0.0248647512340617</c:v>
                </c:pt>
                <c:pt idx="138">
                  <c:v>0.0251779647936058</c:v>
                </c:pt>
                <c:pt idx="139">
                  <c:v>0.0254608829242564</c:v>
                </c:pt>
                <c:pt idx="140">
                  <c:v>0.0267229860764961</c:v>
                </c:pt>
                <c:pt idx="141">
                  <c:v>0.0269017276927502</c:v>
                </c:pt>
                <c:pt idx="142">
                  <c:v>0.0269439271551583</c:v>
                </c:pt>
                <c:pt idx="143">
                  <c:v>0.0270736245262319</c:v>
                </c:pt>
                <c:pt idx="144">
                  <c:v>0.0271154667379285</c:v>
                </c:pt>
                <c:pt idx="145">
                  <c:v>0.0272470201504019</c:v>
                </c:pt>
                <c:pt idx="146">
                  <c:v>0.0272904166250171</c:v>
                </c:pt>
                <c:pt idx="147">
                  <c:v>0.027335980300537</c:v>
                </c:pt>
                <c:pt idx="148">
                  <c:v>0.027382384220138</c:v>
                </c:pt>
                <c:pt idx="149">
                  <c:v>0.0274297539189123</c:v>
                </c:pt>
                <c:pt idx="150">
                  <c:v>0.0274771489472027</c:v>
                </c:pt>
                <c:pt idx="151">
                  <c:v>0.0275267990215044</c:v>
                </c:pt>
                <c:pt idx="152">
                  <c:v>0.0275777887512321</c:v>
                </c:pt>
                <c:pt idx="153">
                  <c:v>0.0276302436714778</c:v>
                </c:pt>
                <c:pt idx="154">
                  <c:v>0.0276825005708088</c:v>
                </c:pt>
                <c:pt idx="155">
                  <c:v>0.0277382045323187</c:v>
                </c:pt>
                <c:pt idx="156">
                  <c:v>0.0277957461960873</c:v>
                </c:pt>
                <c:pt idx="157">
                  <c:v>0.0278552510972069</c:v>
                </c:pt>
                <c:pt idx="158">
                  <c:v>0.027914802037371</c:v>
                </c:pt>
                <c:pt idx="159">
                  <c:v>0.0279785358327629</c:v>
                </c:pt>
                <c:pt idx="160">
                  <c:v>0.0280446053772466</c:v>
                </c:pt>
                <c:pt idx="161">
                  <c:v>0.028113136205914</c:v>
                </c:pt>
                <c:pt idx="162">
                  <c:v>0.0281818927005414</c:v>
                </c:pt>
                <c:pt idx="163">
                  <c:v>0.0282556322764894</c:v>
                </c:pt>
                <c:pt idx="164">
                  <c:v>0.0283322056483619</c:v>
                </c:pt>
                <c:pt idx="165">
                  <c:v>0.0284117383512511</c:v>
                </c:pt>
                <c:pt idx="166">
                  <c:v>0.0284925262036991</c:v>
                </c:pt>
                <c:pt idx="167">
                  <c:v>0.028578283047719</c:v>
                </c:pt>
                <c:pt idx="168">
                  <c:v>0.0286673730990083</c:v>
                </c:pt>
                <c:pt idx="169">
                  <c:v>0.0287599218926591</c:v>
                </c:pt>
                <c:pt idx="170">
                  <c:v>0.0288528623575341</c:v>
                </c:pt>
                <c:pt idx="171">
                  <c:v>0.0289525822890105</c:v>
                </c:pt>
                <c:pt idx="172">
                  <c:v>0.0290561334745892</c:v>
                </c:pt>
                <c:pt idx="173">
                  <c:v>0.0291636414493622</c:v>
                </c:pt>
                <c:pt idx="174">
                  <c:v>0.0292715272466147</c:v>
                </c:pt>
                <c:pt idx="175">
                  <c:v>0.0293871862122216</c:v>
                </c:pt>
                <c:pt idx="176">
                  <c:v>0.0295071744787636</c:v>
                </c:pt>
                <c:pt idx="177">
                  <c:v>0.0296316175813327</c:v>
                </c:pt>
                <c:pt idx="178">
                  <c:v>0.0297563602245932</c:v>
                </c:pt>
                <c:pt idx="179">
                  <c:v>0.0298899341710044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B39-4F4C-B1FB-0BC75ED45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3706768"/>
        <c:axId val="674176992"/>
      </c:scatterChart>
      <c:valAx>
        <c:axId val="673706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176992"/>
        <c:crosses val="autoZero"/>
        <c:crossBetween val="midCat"/>
      </c:valAx>
      <c:valAx>
        <c:axId val="67417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706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Yield Curve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6712695077926"/>
          <c:y val="0.142902507322554"/>
          <c:w val="0.700188501627743"/>
          <c:h val="0.710180071548962"/>
        </c:manualLayout>
      </c:layout>
      <c:scatterChart>
        <c:scatterStyle val="lineMarker"/>
        <c:varyColors val="0"/>
        <c:ser>
          <c:idx val="0"/>
          <c:order val="0"/>
          <c:tx>
            <c:v>Original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spotCurve_p3Spline_knot4!$B$3:$B$182</c:f>
              <c:numCache>
                <c:formatCode>0.00</c:formatCode>
                <c:ptCount val="180"/>
                <c:pt idx="0">
                  <c:v>0.520547945205479</c:v>
                </c:pt>
                <c:pt idx="1">
                  <c:v>0.564383561643836</c:v>
                </c:pt>
                <c:pt idx="2">
                  <c:v>0.605479452054794</c:v>
                </c:pt>
                <c:pt idx="3">
                  <c:v>0.646575342465753</c:v>
                </c:pt>
                <c:pt idx="4">
                  <c:v>0.687671232876712</c:v>
                </c:pt>
                <c:pt idx="5">
                  <c:v>0.731506849315068</c:v>
                </c:pt>
                <c:pt idx="6">
                  <c:v>0.772602739726027</c:v>
                </c:pt>
                <c:pt idx="7">
                  <c:v>0.816438356164383</c:v>
                </c:pt>
                <c:pt idx="8">
                  <c:v>0.857534246575342</c:v>
                </c:pt>
                <c:pt idx="9">
                  <c:v>0.898630136986301</c:v>
                </c:pt>
                <c:pt idx="10">
                  <c:v>0.93972602739726</c:v>
                </c:pt>
                <c:pt idx="11">
                  <c:v>0.983561643835616</c:v>
                </c:pt>
                <c:pt idx="12">
                  <c:v>1.024657534246575</c:v>
                </c:pt>
                <c:pt idx="13">
                  <c:v>1.065753424657534</c:v>
                </c:pt>
                <c:pt idx="14">
                  <c:v>1.106849315068493</c:v>
                </c:pt>
                <c:pt idx="15">
                  <c:v>1.15068493150685</c:v>
                </c:pt>
                <c:pt idx="16">
                  <c:v>1.191780821917808</c:v>
                </c:pt>
                <c:pt idx="17">
                  <c:v>1.235616438356164</c:v>
                </c:pt>
                <c:pt idx="18">
                  <c:v>1.276712328767123</c:v>
                </c:pt>
                <c:pt idx="19">
                  <c:v>1.312328767123288</c:v>
                </c:pt>
                <c:pt idx="20">
                  <c:v>1.353424657534247</c:v>
                </c:pt>
                <c:pt idx="21">
                  <c:v>1.397260273972603</c:v>
                </c:pt>
                <c:pt idx="22">
                  <c:v>1.438356164383562</c:v>
                </c:pt>
                <c:pt idx="23">
                  <c:v>1.47945205479452</c:v>
                </c:pt>
                <c:pt idx="24">
                  <c:v>1.52054794520548</c:v>
                </c:pt>
                <c:pt idx="25">
                  <c:v>1.564383561643835</c:v>
                </c:pt>
                <c:pt idx="26">
                  <c:v>1.605479452054794</c:v>
                </c:pt>
                <c:pt idx="27">
                  <c:v>1.646575342465753</c:v>
                </c:pt>
                <c:pt idx="28">
                  <c:v>1.687671232876712</c:v>
                </c:pt>
                <c:pt idx="29">
                  <c:v>1.731506849315068</c:v>
                </c:pt>
                <c:pt idx="30">
                  <c:v>1.772602739726027</c:v>
                </c:pt>
                <c:pt idx="31">
                  <c:v>1.816438356164383</c:v>
                </c:pt>
                <c:pt idx="32">
                  <c:v>1.857534246575342</c:v>
                </c:pt>
                <c:pt idx="33">
                  <c:v>1.898630136986301</c:v>
                </c:pt>
                <c:pt idx="34">
                  <c:v>1.93972602739726</c:v>
                </c:pt>
                <c:pt idx="35">
                  <c:v>1.983561643835616</c:v>
                </c:pt>
                <c:pt idx="36">
                  <c:v>2.024657534246575</c:v>
                </c:pt>
                <c:pt idx="37">
                  <c:v>2.065753424657534</c:v>
                </c:pt>
                <c:pt idx="38">
                  <c:v>2.106849315068493</c:v>
                </c:pt>
                <c:pt idx="39">
                  <c:v>2.150684931506849</c:v>
                </c:pt>
                <c:pt idx="40">
                  <c:v>2.191780821917808</c:v>
                </c:pt>
                <c:pt idx="41">
                  <c:v>2.235616438356165</c:v>
                </c:pt>
                <c:pt idx="42">
                  <c:v>2.276712328767123</c:v>
                </c:pt>
                <c:pt idx="43">
                  <c:v>2.315068493150685</c:v>
                </c:pt>
                <c:pt idx="44">
                  <c:v>2.356164383561644</c:v>
                </c:pt>
                <c:pt idx="45">
                  <c:v>2.4</c:v>
                </c:pt>
                <c:pt idx="46">
                  <c:v>2.482191780821917</c:v>
                </c:pt>
                <c:pt idx="47">
                  <c:v>2.523287671232876</c:v>
                </c:pt>
                <c:pt idx="48">
                  <c:v>2.567123287671232</c:v>
                </c:pt>
                <c:pt idx="49">
                  <c:v>2.608219178082192</c:v>
                </c:pt>
                <c:pt idx="50">
                  <c:v>2.649315068493151</c:v>
                </c:pt>
                <c:pt idx="51">
                  <c:v>2.690410958904109</c:v>
                </c:pt>
                <c:pt idx="52">
                  <c:v>2.734246575342466</c:v>
                </c:pt>
                <c:pt idx="53">
                  <c:v>2.775342465753424</c:v>
                </c:pt>
                <c:pt idx="54">
                  <c:v>2.819178082191781</c:v>
                </c:pt>
                <c:pt idx="55">
                  <c:v>2.860273972602739</c:v>
                </c:pt>
                <c:pt idx="56">
                  <c:v>2.901369863013699</c:v>
                </c:pt>
                <c:pt idx="57">
                  <c:v>2.942465753424658</c:v>
                </c:pt>
                <c:pt idx="58">
                  <c:v>2.986301369863014</c:v>
                </c:pt>
                <c:pt idx="59">
                  <c:v>3.027397260273972</c:v>
                </c:pt>
                <c:pt idx="60">
                  <c:v>3.068493150684931</c:v>
                </c:pt>
                <c:pt idx="61">
                  <c:v>3.153424657534246</c:v>
                </c:pt>
                <c:pt idx="62">
                  <c:v>3.238356164383561</c:v>
                </c:pt>
                <c:pt idx="63">
                  <c:v>3.27945205479452</c:v>
                </c:pt>
                <c:pt idx="64">
                  <c:v>3.315068493150685</c:v>
                </c:pt>
                <c:pt idx="65">
                  <c:v>3.4</c:v>
                </c:pt>
                <c:pt idx="66">
                  <c:v>3.482191780821917</c:v>
                </c:pt>
                <c:pt idx="67">
                  <c:v>3.523287671232876</c:v>
                </c:pt>
                <c:pt idx="68">
                  <c:v>3.567123287671232</c:v>
                </c:pt>
                <c:pt idx="69">
                  <c:v>3.649315068493151</c:v>
                </c:pt>
                <c:pt idx="70">
                  <c:v>3.734246575342466</c:v>
                </c:pt>
                <c:pt idx="71">
                  <c:v>3.775342465753424</c:v>
                </c:pt>
                <c:pt idx="72">
                  <c:v>3.819178082191781</c:v>
                </c:pt>
                <c:pt idx="73">
                  <c:v>3.901369863013699</c:v>
                </c:pt>
                <c:pt idx="74">
                  <c:v>3.986301369863014</c:v>
                </c:pt>
                <c:pt idx="75">
                  <c:v>4.027397260273973</c:v>
                </c:pt>
                <c:pt idx="76">
                  <c:v>4.068493150684931</c:v>
                </c:pt>
                <c:pt idx="77">
                  <c:v>4.153424657534247</c:v>
                </c:pt>
                <c:pt idx="78">
                  <c:v>4.23835616438356</c:v>
                </c:pt>
                <c:pt idx="79">
                  <c:v>4.27945205479452</c:v>
                </c:pt>
                <c:pt idx="80">
                  <c:v>4.315068493150684</c:v>
                </c:pt>
                <c:pt idx="81">
                  <c:v>4.4</c:v>
                </c:pt>
                <c:pt idx="82">
                  <c:v>4.482191780821917</c:v>
                </c:pt>
                <c:pt idx="83">
                  <c:v>4.523287671232877</c:v>
                </c:pt>
                <c:pt idx="84">
                  <c:v>4.567123287671233</c:v>
                </c:pt>
                <c:pt idx="85">
                  <c:v>4.64931506849315</c:v>
                </c:pt>
                <c:pt idx="86">
                  <c:v>4.734246575342465</c:v>
                </c:pt>
                <c:pt idx="87">
                  <c:v>4.775342465753424</c:v>
                </c:pt>
                <c:pt idx="88">
                  <c:v>4.81917808219178</c:v>
                </c:pt>
                <c:pt idx="89">
                  <c:v>4.901369863013698</c:v>
                </c:pt>
                <c:pt idx="90">
                  <c:v>4.986301369863014</c:v>
                </c:pt>
                <c:pt idx="91">
                  <c:v>5.027397260273973</c:v>
                </c:pt>
                <c:pt idx="92">
                  <c:v>5.068493150684931</c:v>
                </c:pt>
                <c:pt idx="93">
                  <c:v>5.153424657534247</c:v>
                </c:pt>
                <c:pt idx="94">
                  <c:v>5.23835616438356</c:v>
                </c:pt>
                <c:pt idx="95">
                  <c:v>5.27945205479452</c:v>
                </c:pt>
                <c:pt idx="96">
                  <c:v>5.315068493150684</c:v>
                </c:pt>
                <c:pt idx="97">
                  <c:v>5.4</c:v>
                </c:pt>
                <c:pt idx="98">
                  <c:v>5.482191780821917</c:v>
                </c:pt>
                <c:pt idx="99">
                  <c:v>5.523287671232877</c:v>
                </c:pt>
                <c:pt idx="100">
                  <c:v>5.567123287671233</c:v>
                </c:pt>
                <c:pt idx="101">
                  <c:v>5.64931506849315</c:v>
                </c:pt>
                <c:pt idx="102">
                  <c:v>5.734246575342465</c:v>
                </c:pt>
                <c:pt idx="103">
                  <c:v>5.775342465753424</c:v>
                </c:pt>
                <c:pt idx="104">
                  <c:v>5.81917808219178</c:v>
                </c:pt>
                <c:pt idx="105">
                  <c:v>5.901369863013698</c:v>
                </c:pt>
                <c:pt idx="106">
                  <c:v>5.986301369863014</c:v>
                </c:pt>
                <c:pt idx="107">
                  <c:v>6.027397260273973</c:v>
                </c:pt>
                <c:pt idx="108">
                  <c:v>6.068493150684931</c:v>
                </c:pt>
                <c:pt idx="109">
                  <c:v>6.153424657534247</c:v>
                </c:pt>
                <c:pt idx="110">
                  <c:v>6.27945205479452</c:v>
                </c:pt>
                <c:pt idx="111">
                  <c:v>6.317808219178082</c:v>
                </c:pt>
                <c:pt idx="112">
                  <c:v>6.402739726027397</c:v>
                </c:pt>
                <c:pt idx="113">
                  <c:v>6.484931506849315</c:v>
                </c:pt>
                <c:pt idx="114">
                  <c:v>6.526027397260274</c:v>
                </c:pt>
                <c:pt idx="115">
                  <c:v>6.56986301369863</c:v>
                </c:pt>
                <c:pt idx="116">
                  <c:v>6.652054794520548</c:v>
                </c:pt>
                <c:pt idx="117">
                  <c:v>6.736986301369863</c:v>
                </c:pt>
                <c:pt idx="118">
                  <c:v>6.77808219178082</c:v>
                </c:pt>
                <c:pt idx="119">
                  <c:v>6.821917808219178</c:v>
                </c:pt>
                <c:pt idx="120">
                  <c:v>6.904109589041096</c:v>
                </c:pt>
                <c:pt idx="121">
                  <c:v>6.98904109589041</c:v>
                </c:pt>
                <c:pt idx="122">
                  <c:v>7.03013698630137</c:v>
                </c:pt>
                <c:pt idx="123">
                  <c:v>7.282191780821917</c:v>
                </c:pt>
                <c:pt idx="124">
                  <c:v>7.526027397260274</c:v>
                </c:pt>
                <c:pt idx="125">
                  <c:v>7.77808219178082</c:v>
                </c:pt>
                <c:pt idx="126">
                  <c:v>8.03013698630137</c:v>
                </c:pt>
                <c:pt idx="127">
                  <c:v>8.282191780821918</c:v>
                </c:pt>
                <c:pt idx="128">
                  <c:v>8.526027397260273</c:v>
                </c:pt>
                <c:pt idx="129">
                  <c:v>8.778082191780822</c:v>
                </c:pt>
                <c:pt idx="130">
                  <c:v>9.03013698630137</c:v>
                </c:pt>
                <c:pt idx="131">
                  <c:v>9.282191780821918</c:v>
                </c:pt>
                <c:pt idx="132">
                  <c:v>9.526027397260273</c:v>
                </c:pt>
                <c:pt idx="133">
                  <c:v>9.778082191780822</c:v>
                </c:pt>
                <c:pt idx="134">
                  <c:v>10.78082191780822</c:v>
                </c:pt>
                <c:pt idx="135">
                  <c:v>11.03287671232877</c:v>
                </c:pt>
                <c:pt idx="136">
                  <c:v>11.28493150684931</c:v>
                </c:pt>
                <c:pt idx="137">
                  <c:v>11.78082191780822</c:v>
                </c:pt>
                <c:pt idx="138">
                  <c:v>12.52876712328767</c:v>
                </c:pt>
                <c:pt idx="139">
                  <c:v>13.28493150684931</c:v>
                </c:pt>
                <c:pt idx="140">
                  <c:v>18.28767123287671</c:v>
                </c:pt>
                <c:pt idx="141">
                  <c:v>19.29041095890411</c:v>
                </c:pt>
                <c:pt idx="142">
                  <c:v>19.53424657534246</c:v>
                </c:pt>
                <c:pt idx="143">
                  <c:v>20.29041095890411</c:v>
                </c:pt>
                <c:pt idx="144">
                  <c:v>20.53424657534246</c:v>
                </c:pt>
                <c:pt idx="145">
                  <c:v>21.29041095890411</c:v>
                </c:pt>
                <c:pt idx="146">
                  <c:v>21.53424657534246</c:v>
                </c:pt>
                <c:pt idx="147">
                  <c:v>21.78630136986301</c:v>
                </c:pt>
                <c:pt idx="148">
                  <c:v>22.03835616438356</c:v>
                </c:pt>
                <c:pt idx="149">
                  <c:v>22.29041095890411</c:v>
                </c:pt>
                <c:pt idx="150">
                  <c:v>22.53698630136986</c:v>
                </c:pt>
                <c:pt idx="151">
                  <c:v>22.78904109589041</c:v>
                </c:pt>
                <c:pt idx="152">
                  <c:v>23.04109589041096</c:v>
                </c:pt>
                <c:pt idx="153">
                  <c:v>23.29315068493151</c:v>
                </c:pt>
                <c:pt idx="154">
                  <c:v>23.53698630136986</c:v>
                </c:pt>
                <c:pt idx="155">
                  <c:v>23.78904109589041</c:v>
                </c:pt>
                <c:pt idx="156">
                  <c:v>24.04109589041096</c:v>
                </c:pt>
                <c:pt idx="157">
                  <c:v>24.29315068493151</c:v>
                </c:pt>
                <c:pt idx="158">
                  <c:v>24.53698630136986</c:v>
                </c:pt>
                <c:pt idx="159">
                  <c:v>24.78904109589041</c:v>
                </c:pt>
                <c:pt idx="160">
                  <c:v>25.04109589041096</c:v>
                </c:pt>
                <c:pt idx="161">
                  <c:v>25.29315068493151</c:v>
                </c:pt>
                <c:pt idx="162">
                  <c:v>25.53698630136986</c:v>
                </c:pt>
                <c:pt idx="163">
                  <c:v>25.78904109589041</c:v>
                </c:pt>
                <c:pt idx="164">
                  <c:v>26.04109589041096</c:v>
                </c:pt>
                <c:pt idx="165">
                  <c:v>26.29315068493151</c:v>
                </c:pt>
                <c:pt idx="166">
                  <c:v>26.53972602739726</c:v>
                </c:pt>
                <c:pt idx="167">
                  <c:v>26.79178082191781</c:v>
                </c:pt>
                <c:pt idx="168">
                  <c:v>27.04383561643836</c:v>
                </c:pt>
                <c:pt idx="169">
                  <c:v>27.2958904109589</c:v>
                </c:pt>
                <c:pt idx="170">
                  <c:v>27.53972602739726</c:v>
                </c:pt>
                <c:pt idx="171">
                  <c:v>27.79178082191781</c:v>
                </c:pt>
                <c:pt idx="172">
                  <c:v>28.04383561643836</c:v>
                </c:pt>
                <c:pt idx="173">
                  <c:v>28.2958904109589</c:v>
                </c:pt>
                <c:pt idx="174">
                  <c:v>28.53972602739726</c:v>
                </c:pt>
                <c:pt idx="175">
                  <c:v>28.79178082191781</c:v>
                </c:pt>
                <c:pt idx="176">
                  <c:v>29.04383561643836</c:v>
                </c:pt>
                <c:pt idx="177">
                  <c:v>29.2958904109589</c:v>
                </c:pt>
                <c:pt idx="178">
                  <c:v>29.53972602739726</c:v>
                </c:pt>
                <c:pt idx="179">
                  <c:v>29.79178082191781</c:v>
                </c:pt>
              </c:numCache>
            </c:numRef>
          </c:xVal>
          <c:yVal>
            <c:numRef>
              <c:f>spotCurve_p3Spline_knot4!$E$3:$E$182</c:f>
              <c:numCache>
                <c:formatCode>General</c:formatCode>
                <c:ptCount val="180"/>
                <c:pt idx="0">
                  <c:v>0.0127</c:v>
                </c:pt>
                <c:pt idx="1">
                  <c:v>0.01334</c:v>
                </c:pt>
                <c:pt idx="2">
                  <c:v>0.01358</c:v>
                </c:pt>
                <c:pt idx="3">
                  <c:v>0.01364</c:v>
                </c:pt>
                <c:pt idx="4">
                  <c:v>0.014</c:v>
                </c:pt>
                <c:pt idx="5">
                  <c:v>0.01416</c:v>
                </c:pt>
                <c:pt idx="6">
                  <c:v>0.01427</c:v>
                </c:pt>
                <c:pt idx="7">
                  <c:v>0.01446</c:v>
                </c:pt>
                <c:pt idx="8">
                  <c:v>0.0147</c:v>
                </c:pt>
                <c:pt idx="9">
                  <c:v>0.01479</c:v>
                </c:pt>
                <c:pt idx="10">
                  <c:v>0.01488</c:v>
                </c:pt>
                <c:pt idx="11">
                  <c:v>0.01497</c:v>
                </c:pt>
                <c:pt idx="12">
                  <c:v>0.01504</c:v>
                </c:pt>
                <c:pt idx="13">
                  <c:v>0.01504</c:v>
                </c:pt>
                <c:pt idx="14">
                  <c:v>0.01521</c:v>
                </c:pt>
                <c:pt idx="15">
                  <c:v>0.01511</c:v>
                </c:pt>
                <c:pt idx="16">
                  <c:v>0.0151</c:v>
                </c:pt>
                <c:pt idx="17">
                  <c:v>0.01522</c:v>
                </c:pt>
                <c:pt idx="18">
                  <c:v>0.01533</c:v>
                </c:pt>
                <c:pt idx="19">
                  <c:v>0.01528</c:v>
                </c:pt>
                <c:pt idx="20">
                  <c:v>0.01537</c:v>
                </c:pt>
                <c:pt idx="21">
                  <c:v>0.01545</c:v>
                </c:pt>
                <c:pt idx="22">
                  <c:v>0.01553</c:v>
                </c:pt>
                <c:pt idx="23">
                  <c:v>0.0156</c:v>
                </c:pt>
                <c:pt idx="24">
                  <c:v>0.01562</c:v>
                </c:pt>
                <c:pt idx="25">
                  <c:v>0.01551</c:v>
                </c:pt>
                <c:pt idx="26">
                  <c:v>0.01589</c:v>
                </c:pt>
                <c:pt idx="27">
                  <c:v>0.01583</c:v>
                </c:pt>
                <c:pt idx="28">
                  <c:v>0.01577</c:v>
                </c:pt>
                <c:pt idx="29">
                  <c:v>0.01586</c:v>
                </c:pt>
                <c:pt idx="30">
                  <c:v>0.01593</c:v>
                </c:pt>
                <c:pt idx="31">
                  <c:v>0.01609</c:v>
                </c:pt>
                <c:pt idx="32">
                  <c:v>0.01613</c:v>
                </c:pt>
                <c:pt idx="33">
                  <c:v>0.01608</c:v>
                </c:pt>
                <c:pt idx="34">
                  <c:v>0.01612</c:v>
                </c:pt>
                <c:pt idx="35">
                  <c:v>0.01616</c:v>
                </c:pt>
                <c:pt idx="36">
                  <c:v>0.01626</c:v>
                </c:pt>
                <c:pt idx="37">
                  <c:v>0.01629</c:v>
                </c:pt>
                <c:pt idx="38">
                  <c:v>0.01644</c:v>
                </c:pt>
                <c:pt idx="39">
                  <c:v>0.01641</c:v>
                </c:pt>
                <c:pt idx="40">
                  <c:v>0.01656</c:v>
                </c:pt>
                <c:pt idx="41">
                  <c:v>0.01654</c:v>
                </c:pt>
                <c:pt idx="42">
                  <c:v>0.01663</c:v>
                </c:pt>
                <c:pt idx="43">
                  <c:v>0.01664</c:v>
                </c:pt>
                <c:pt idx="44">
                  <c:v>0.01682</c:v>
                </c:pt>
                <c:pt idx="45">
                  <c:v>0.01675</c:v>
                </c:pt>
                <c:pt idx="46">
                  <c:v>0.01689</c:v>
                </c:pt>
                <c:pt idx="47">
                  <c:v>0.01697</c:v>
                </c:pt>
                <c:pt idx="48">
                  <c:v>0.01694</c:v>
                </c:pt>
                <c:pt idx="49">
                  <c:v>0.01703</c:v>
                </c:pt>
                <c:pt idx="50">
                  <c:v>0.01713</c:v>
                </c:pt>
                <c:pt idx="51">
                  <c:v>0.01715</c:v>
                </c:pt>
                <c:pt idx="52">
                  <c:v>0.01722</c:v>
                </c:pt>
                <c:pt idx="53">
                  <c:v>0.01717</c:v>
                </c:pt>
                <c:pt idx="54">
                  <c:v>0.01729</c:v>
                </c:pt>
                <c:pt idx="55">
                  <c:v>0.01721</c:v>
                </c:pt>
                <c:pt idx="56">
                  <c:v>0.01741</c:v>
                </c:pt>
                <c:pt idx="57">
                  <c:v>0.01729</c:v>
                </c:pt>
                <c:pt idx="58">
                  <c:v>0.0175</c:v>
                </c:pt>
                <c:pt idx="59">
                  <c:v>0.01762</c:v>
                </c:pt>
                <c:pt idx="60">
                  <c:v>0.01772</c:v>
                </c:pt>
                <c:pt idx="61">
                  <c:v>0.01786</c:v>
                </c:pt>
                <c:pt idx="62">
                  <c:v>0.01799</c:v>
                </c:pt>
                <c:pt idx="63">
                  <c:v>0.01782</c:v>
                </c:pt>
                <c:pt idx="64">
                  <c:v>0.0181</c:v>
                </c:pt>
                <c:pt idx="65">
                  <c:v>0.01821</c:v>
                </c:pt>
                <c:pt idx="66">
                  <c:v>0.01826</c:v>
                </c:pt>
                <c:pt idx="67">
                  <c:v>0.0181</c:v>
                </c:pt>
                <c:pt idx="68">
                  <c:v>0.01839</c:v>
                </c:pt>
                <c:pt idx="69">
                  <c:v>0.01852</c:v>
                </c:pt>
                <c:pt idx="70">
                  <c:v>0.01865</c:v>
                </c:pt>
                <c:pt idx="71">
                  <c:v>0.01864</c:v>
                </c:pt>
                <c:pt idx="72">
                  <c:v>0.01877</c:v>
                </c:pt>
                <c:pt idx="73">
                  <c:v>0.01885</c:v>
                </c:pt>
                <c:pt idx="74">
                  <c:v>0.0189</c:v>
                </c:pt>
                <c:pt idx="75">
                  <c:v>0.01881</c:v>
                </c:pt>
                <c:pt idx="76">
                  <c:v>0.01904</c:v>
                </c:pt>
                <c:pt idx="77">
                  <c:v>0.01917</c:v>
                </c:pt>
                <c:pt idx="78">
                  <c:v>0.01926</c:v>
                </c:pt>
                <c:pt idx="79">
                  <c:v>0.01916</c:v>
                </c:pt>
                <c:pt idx="80">
                  <c:v>0.01938</c:v>
                </c:pt>
                <c:pt idx="81">
                  <c:v>0.01951</c:v>
                </c:pt>
                <c:pt idx="82">
                  <c:v>0.0196</c:v>
                </c:pt>
                <c:pt idx="83">
                  <c:v>0.01946</c:v>
                </c:pt>
                <c:pt idx="84">
                  <c:v>0.01966</c:v>
                </c:pt>
                <c:pt idx="85">
                  <c:v>0.01978</c:v>
                </c:pt>
                <c:pt idx="86">
                  <c:v>0.01989</c:v>
                </c:pt>
                <c:pt idx="87">
                  <c:v>0.01969</c:v>
                </c:pt>
                <c:pt idx="88">
                  <c:v>0.01992</c:v>
                </c:pt>
                <c:pt idx="89">
                  <c:v>0.02011</c:v>
                </c:pt>
                <c:pt idx="90">
                  <c:v>0.02012</c:v>
                </c:pt>
                <c:pt idx="91">
                  <c:v>0.02011</c:v>
                </c:pt>
                <c:pt idx="92">
                  <c:v>0.02021</c:v>
                </c:pt>
                <c:pt idx="93">
                  <c:v>0.02033</c:v>
                </c:pt>
                <c:pt idx="94">
                  <c:v>0.02047</c:v>
                </c:pt>
                <c:pt idx="95">
                  <c:v>0.02048</c:v>
                </c:pt>
                <c:pt idx="96">
                  <c:v>0.02052</c:v>
                </c:pt>
                <c:pt idx="97">
                  <c:v>0.02062</c:v>
                </c:pt>
                <c:pt idx="98">
                  <c:v>0.02067</c:v>
                </c:pt>
                <c:pt idx="99">
                  <c:v>0.02075</c:v>
                </c:pt>
                <c:pt idx="100">
                  <c:v>0.02078</c:v>
                </c:pt>
                <c:pt idx="101">
                  <c:v>0.02086</c:v>
                </c:pt>
                <c:pt idx="102">
                  <c:v>0.02093</c:v>
                </c:pt>
                <c:pt idx="103">
                  <c:v>0.02081</c:v>
                </c:pt>
                <c:pt idx="104">
                  <c:v>0.02099</c:v>
                </c:pt>
                <c:pt idx="105">
                  <c:v>0.02107</c:v>
                </c:pt>
                <c:pt idx="106">
                  <c:v>0.02105</c:v>
                </c:pt>
                <c:pt idx="107">
                  <c:v>0.02103</c:v>
                </c:pt>
                <c:pt idx="108">
                  <c:v>0.02108</c:v>
                </c:pt>
                <c:pt idx="109">
                  <c:v>0.02126</c:v>
                </c:pt>
                <c:pt idx="110">
                  <c:v>0.02137</c:v>
                </c:pt>
                <c:pt idx="111">
                  <c:v>0.02146</c:v>
                </c:pt>
                <c:pt idx="112">
                  <c:v>0.02154</c:v>
                </c:pt>
                <c:pt idx="113">
                  <c:v>0.02158</c:v>
                </c:pt>
                <c:pt idx="114">
                  <c:v>0.02161</c:v>
                </c:pt>
                <c:pt idx="115">
                  <c:v>0.02168</c:v>
                </c:pt>
                <c:pt idx="116">
                  <c:v>0.02174</c:v>
                </c:pt>
                <c:pt idx="117">
                  <c:v>0.02179</c:v>
                </c:pt>
                <c:pt idx="118">
                  <c:v>0.02182</c:v>
                </c:pt>
                <c:pt idx="119">
                  <c:v>0.02184</c:v>
                </c:pt>
                <c:pt idx="120">
                  <c:v>0.0219</c:v>
                </c:pt>
                <c:pt idx="121">
                  <c:v>0.02195</c:v>
                </c:pt>
                <c:pt idx="122">
                  <c:v>0.02199</c:v>
                </c:pt>
                <c:pt idx="123">
                  <c:v>0.02222</c:v>
                </c:pt>
                <c:pt idx="124">
                  <c:v>0.02234</c:v>
                </c:pt>
                <c:pt idx="125">
                  <c:v>0.02254</c:v>
                </c:pt>
                <c:pt idx="126">
                  <c:v>0.02267</c:v>
                </c:pt>
                <c:pt idx="127">
                  <c:v>0.02287</c:v>
                </c:pt>
                <c:pt idx="128">
                  <c:v>0.023</c:v>
                </c:pt>
                <c:pt idx="129">
                  <c:v>0.02311</c:v>
                </c:pt>
                <c:pt idx="130">
                  <c:v>0.02318</c:v>
                </c:pt>
                <c:pt idx="131">
                  <c:v>0.0233</c:v>
                </c:pt>
                <c:pt idx="132">
                  <c:v>0.02334</c:v>
                </c:pt>
                <c:pt idx="133">
                  <c:v>0.02341</c:v>
                </c:pt>
                <c:pt idx="134">
                  <c:v>0.02333</c:v>
                </c:pt>
                <c:pt idx="135">
                  <c:v>0.02337</c:v>
                </c:pt>
                <c:pt idx="136">
                  <c:v>0.02346</c:v>
                </c:pt>
                <c:pt idx="137">
                  <c:v>0.02352</c:v>
                </c:pt>
                <c:pt idx="138">
                  <c:v>0.02374</c:v>
                </c:pt>
                <c:pt idx="139">
                  <c:v>0.02385</c:v>
                </c:pt>
                <c:pt idx="140">
                  <c:v>0.02507</c:v>
                </c:pt>
                <c:pt idx="141">
                  <c:v>0.02551</c:v>
                </c:pt>
                <c:pt idx="142">
                  <c:v>0.02563</c:v>
                </c:pt>
                <c:pt idx="143">
                  <c:v>0.02607</c:v>
                </c:pt>
                <c:pt idx="144">
                  <c:v>0.02614</c:v>
                </c:pt>
                <c:pt idx="145">
                  <c:v>0.02656</c:v>
                </c:pt>
                <c:pt idx="146">
                  <c:v>0.02663</c:v>
                </c:pt>
                <c:pt idx="147">
                  <c:v>0.02669</c:v>
                </c:pt>
                <c:pt idx="148">
                  <c:v>0.02681</c:v>
                </c:pt>
                <c:pt idx="149">
                  <c:v>0.02683</c:v>
                </c:pt>
                <c:pt idx="150">
                  <c:v>0.02695</c:v>
                </c:pt>
                <c:pt idx="151">
                  <c:v>0.02711</c:v>
                </c:pt>
                <c:pt idx="152">
                  <c:v>0.0271</c:v>
                </c:pt>
                <c:pt idx="153">
                  <c:v>0.02706</c:v>
                </c:pt>
                <c:pt idx="154">
                  <c:v>0.02718</c:v>
                </c:pt>
                <c:pt idx="155">
                  <c:v>0.02732</c:v>
                </c:pt>
                <c:pt idx="156">
                  <c:v>0.0275</c:v>
                </c:pt>
                <c:pt idx="157">
                  <c:v>0.02755</c:v>
                </c:pt>
                <c:pt idx="158">
                  <c:v>0.02759</c:v>
                </c:pt>
                <c:pt idx="159">
                  <c:v>0.02771</c:v>
                </c:pt>
                <c:pt idx="160">
                  <c:v>0.0278</c:v>
                </c:pt>
                <c:pt idx="161">
                  <c:v>0.02778</c:v>
                </c:pt>
                <c:pt idx="162">
                  <c:v>0.02785</c:v>
                </c:pt>
                <c:pt idx="163">
                  <c:v>0.02776</c:v>
                </c:pt>
                <c:pt idx="164">
                  <c:v>0.02774</c:v>
                </c:pt>
                <c:pt idx="165">
                  <c:v>0.02778</c:v>
                </c:pt>
                <c:pt idx="166">
                  <c:v>0.02784</c:v>
                </c:pt>
                <c:pt idx="167">
                  <c:v>0.0279</c:v>
                </c:pt>
                <c:pt idx="168">
                  <c:v>0.02794</c:v>
                </c:pt>
                <c:pt idx="169">
                  <c:v>0.02811</c:v>
                </c:pt>
                <c:pt idx="170">
                  <c:v>0.02802</c:v>
                </c:pt>
                <c:pt idx="171">
                  <c:v>0.02808</c:v>
                </c:pt>
                <c:pt idx="172">
                  <c:v>0.02809</c:v>
                </c:pt>
                <c:pt idx="173">
                  <c:v>0.0282</c:v>
                </c:pt>
                <c:pt idx="174">
                  <c:v>0.0282</c:v>
                </c:pt>
                <c:pt idx="175">
                  <c:v>0.02824</c:v>
                </c:pt>
                <c:pt idx="176">
                  <c:v>0.02815</c:v>
                </c:pt>
                <c:pt idx="177">
                  <c:v>0.02814</c:v>
                </c:pt>
                <c:pt idx="178">
                  <c:v>0.02815</c:v>
                </c:pt>
                <c:pt idx="179">
                  <c:v>0.02819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9E2-4440-BC9D-7F1AECC1D22A}"/>
            </c:ext>
          </c:extLst>
        </c:ser>
        <c:ser>
          <c:idx val="1"/>
          <c:order val="1"/>
          <c:tx>
            <c:v>Fitted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spotCurve_p3Spline_knot4!$B$3:$B$182</c:f>
              <c:numCache>
                <c:formatCode>0.00</c:formatCode>
                <c:ptCount val="180"/>
                <c:pt idx="0">
                  <c:v>0.520547945205479</c:v>
                </c:pt>
                <c:pt idx="1">
                  <c:v>0.564383561643836</c:v>
                </c:pt>
                <c:pt idx="2">
                  <c:v>0.605479452054794</c:v>
                </c:pt>
                <c:pt idx="3">
                  <c:v>0.646575342465753</c:v>
                </c:pt>
                <c:pt idx="4">
                  <c:v>0.687671232876712</c:v>
                </c:pt>
                <c:pt idx="5">
                  <c:v>0.731506849315068</c:v>
                </c:pt>
                <c:pt idx="6">
                  <c:v>0.772602739726027</c:v>
                </c:pt>
                <c:pt idx="7">
                  <c:v>0.816438356164383</c:v>
                </c:pt>
                <c:pt idx="8">
                  <c:v>0.857534246575342</c:v>
                </c:pt>
                <c:pt idx="9">
                  <c:v>0.898630136986301</c:v>
                </c:pt>
                <c:pt idx="10">
                  <c:v>0.93972602739726</c:v>
                </c:pt>
                <c:pt idx="11">
                  <c:v>0.983561643835616</c:v>
                </c:pt>
                <c:pt idx="12">
                  <c:v>1.024657534246575</c:v>
                </c:pt>
                <c:pt idx="13">
                  <c:v>1.065753424657534</c:v>
                </c:pt>
                <c:pt idx="14">
                  <c:v>1.106849315068493</c:v>
                </c:pt>
                <c:pt idx="15">
                  <c:v>1.15068493150685</c:v>
                </c:pt>
                <c:pt idx="16">
                  <c:v>1.191780821917808</c:v>
                </c:pt>
                <c:pt idx="17">
                  <c:v>1.235616438356164</c:v>
                </c:pt>
                <c:pt idx="18">
                  <c:v>1.276712328767123</c:v>
                </c:pt>
                <c:pt idx="19">
                  <c:v>1.312328767123288</c:v>
                </c:pt>
                <c:pt idx="20">
                  <c:v>1.353424657534247</c:v>
                </c:pt>
                <c:pt idx="21">
                  <c:v>1.397260273972603</c:v>
                </c:pt>
                <c:pt idx="22">
                  <c:v>1.438356164383562</c:v>
                </c:pt>
                <c:pt idx="23">
                  <c:v>1.47945205479452</c:v>
                </c:pt>
                <c:pt idx="24">
                  <c:v>1.52054794520548</c:v>
                </c:pt>
                <c:pt idx="25">
                  <c:v>1.564383561643835</c:v>
                </c:pt>
                <c:pt idx="26">
                  <c:v>1.605479452054794</c:v>
                </c:pt>
                <c:pt idx="27">
                  <c:v>1.646575342465753</c:v>
                </c:pt>
                <c:pt idx="28">
                  <c:v>1.687671232876712</c:v>
                </c:pt>
                <c:pt idx="29">
                  <c:v>1.731506849315068</c:v>
                </c:pt>
                <c:pt idx="30">
                  <c:v>1.772602739726027</c:v>
                </c:pt>
                <c:pt idx="31">
                  <c:v>1.816438356164383</c:v>
                </c:pt>
                <c:pt idx="32">
                  <c:v>1.857534246575342</c:v>
                </c:pt>
                <c:pt idx="33">
                  <c:v>1.898630136986301</c:v>
                </c:pt>
                <c:pt idx="34">
                  <c:v>1.93972602739726</c:v>
                </c:pt>
                <c:pt idx="35">
                  <c:v>1.983561643835616</c:v>
                </c:pt>
                <c:pt idx="36">
                  <c:v>2.024657534246575</c:v>
                </c:pt>
                <c:pt idx="37">
                  <c:v>2.065753424657534</c:v>
                </c:pt>
                <c:pt idx="38">
                  <c:v>2.106849315068493</c:v>
                </c:pt>
                <c:pt idx="39">
                  <c:v>2.150684931506849</c:v>
                </c:pt>
                <c:pt idx="40">
                  <c:v>2.191780821917808</c:v>
                </c:pt>
                <c:pt idx="41">
                  <c:v>2.235616438356165</c:v>
                </c:pt>
                <c:pt idx="42">
                  <c:v>2.276712328767123</c:v>
                </c:pt>
                <c:pt idx="43">
                  <c:v>2.315068493150685</c:v>
                </c:pt>
                <c:pt idx="44">
                  <c:v>2.356164383561644</c:v>
                </c:pt>
                <c:pt idx="45">
                  <c:v>2.4</c:v>
                </c:pt>
                <c:pt idx="46">
                  <c:v>2.482191780821917</c:v>
                </c:pt>
                <c:pt idx="47">
                  <c:v>2.523287671232876</c:v>
                </c:pt>
                <c:pt idx="48">
                  <c:v>2.567123287671232</c:v>
                </c:pt>
                <c:pt idx="49">
                  <c:v>2.608219178082192</c:v>
                </c:pt>
                <c:pt idx="50">
                  <c:v>2.649315068493151</c:v>
                </c:pt>
                <c:pt idx="51">
                  <c:v>2.690410958904109</c:v>
                </c:pt>
                <c:pt idx="52">
                  <c:v>2.734246575342466</c:v>
                </c:pt>
                <c:pt idx="53">
                  <c:v>2.775342465753424</c:v>
                </c:pt>
                <c:pt idx="54">
                  <c:v>2.819178082191781</c:v>
                </c:pt>
                <c:pt idx="55">
                  <c:v>2.860273972602739</c:v>
                </c:pt>
                <c:pt idx="56">
                  <c:v>2.901369863013699</c:v>
                </c:pt>
                <c:pt idx="57">
                  <c:v>2.942465753424658</c:v>
                </c:pt>
                <c:pt idx="58">
                  <c:v>2.986301369863014</c:v>
                </c:pt>
                <c:pt idx="59">
                  <c:v>3.027397260273972</c:v>
                </c:pt>
                <c:pt idx="60">
                  <c:v>3.068493150684931</c:v>
                </c:pt>
                <c:pt idx="61">
                  <c:v>3.153424657534246</c:v>
                </c:pt>
                <c:pt idx="62">
                  <c:v>3.238356164383561</c:v>
                </c:pt>
                <c:pt idx="63">
                  <c:v>3.27945205479452</c:v>
                </c:pt>
                <c:pt idx="64">
                  <c:v>3.315068493150685</c:v>
                </c:pt>
                <c:pt idx="65">
                  <c:v>3.4</c:v>
                </c:pt>
                <c:pt idx="66">
                  <c:v>3.482191780821917</c:v>
                </c:pt>
                <c:pt idx="67">
                  <c:v>3.523287671232876</c:v>
                </c:pt>
                <c:pt idx="68">
                  <c:v>3.567123287671232</c:v>
                </c:pt>
                <c:pt idx="69">
                  <c:v>3.649315068493151</c:v>
                </c:pt>
                <c:pt idx="70">
                  <c:v>3.734246575342466</c:v>
                </c:pt>
                <c:pt idx="71">
                  <c:v>3.775342465753424</c:v>
                </c:pt>
                <c:pt idx="72">
                  <c:v>3.819178082191781</c:v>
                </c:pt>
                <c:pt idx="73">
                  <c:v>3.901369863013699</c:v>
                </c:pt>
                <c:pt idx="74">
                  <c:v>3.986301369863014</c:v>
                </c:pt>
                <c:pt idx="75">
                  <c:v>4.027397260273973</c:v>
                </c:pt>
                <c:pt idx="76">
                  <c:v>4.068493150684931</c:v>
                </c:pt>
                <c:pt idx="77">
                  <c:v>4.153424657534247</c:v>
                </c:pt>
                <c:pt idx="78">
                  <c:v>4.23835616438356</c:v>
                </c:pt>
                <c:pt idx="79">
                  <c:v>4.27945205479452</c:v>
                </c:pt>
                <c:pt idx="80">
                  <c:v>4.315068493150684</c:v>
                </c:pt>
                <c:pt idx="81">
                  <c:v>4.4</c:v>
                </c:pt>
                <c:pt idx="82">
                  <c:v>4.482191780821917</c:v>
                </c:pt>
                <c:pt idx="83">
                  <c:v>4.523287671232877</c:v>
                </c:pt>
                <c:pt idx="84">
                  <c:v>4.567123287671233</c:v>
                </c:pt>
                <c:pt idx="85">
                  <c:v>4.64931506849315</c:v>
                </c:pt>
                <c:pt idx="86">
                  <c:v>4.734246575342465</c:v>
                </c:pt>
                <c:pt idx="87">
                  <c:v>4.775342465753424</c:v>
                </c:pt>
                <c:pt idx="88">
                  <c:v>4.81917808219178</c:v>
                </c:pt>
                <c:pt idx="89">
                  <c:v>4.901369863013698</c:v>
                </c:pt>
                <c:pt idx="90">
                  <c:v>4.986301369863014</c:v>
                </c:pt>
                <c:pt idx="91">
                  <c:v>5.027397260273973</c:v>
                </c:pt>
                <c:pt idx="92">
                  <c:v>5.068493150684931</c:v>
                </c:pt>
                <c:pt idx="93">
                  <c:v>5.153424657534247</c:v>
                </c:pt>
                <c:pt idx="94">
                  <c:v>5.23835616438356</c:v>
                </c:pt>
                <c:pt idx="95">
                  <c:v>5.27945205479452</c:v>
                </c:pt>
                <c:pt idx="96">
                  <c:v>5.315068493150684</c:v>
                </c:pt>
                <c:pt idx="97">
                  <c:v>5.4</c:v>
                </c:pt>
                <c:pt idx="98">
                  <c:v>5.482191780821917</c:v>
                </c:pt>
                <c:pt idx="99">
                  <c:v>5.523287671232877</c:v>
                </c:pt>
                <c:pt idx="100">
                  <c:v>5.567123287671233</c:v>
                </c:pt>
                <c:pt idx="101">
                  <c:v>5.64931506849315</c:v>
                </c:pt>
                <c:pt idx="102">
                  <c:v>5.734246575342465</c:v>
                </c:pt>
                <c:pt idx="103">
                  <c:v>5.775342465753424</c:v>
                </c:pt>
                <c:pt idx="104">
                  <c:v>5.81917808219178</c:v>
                </c:pt>
                <c:pt idx="105">
                  <c:v>5.901369863013698</c:v>
                </c:pt>
                <c:pt idx="106">
                  <c:v>5.986301369863014</c:v>
                </c:pt>
                <c:pt idx="107">
                  <c:v>6.027397260273973</c:v>
                </c:pt>
                <c:pt idx="108">
                  <c:v>6.068493150684931</c:v>
                </c:pt>
                <c:pt idx="109">
                  <c:v>6.153424657534247</c:v>
                </c:pt>
                <c:pt idx="110">
                  <c:v>6.27945205479452</c:v>
                </c:pt>
                <c:pt idx="111">
                  <c:v>6.317808219178082</c:v>
                </c:pt>
                <c:pt idx="112">
                  <c:v>6.402739726027397</c:v>
                </c:pt>
                <c:pt idx="113">
                  <c:v>6.484931506849315</c:v>
                </c:pt>
                <c:pt idx="114">
                  <c:v>6.526027397260274</c:v>
                </c:pt>
                <c:pt idx="115">
                  <c:v>6.56986301369863</c:v>
                </c:pt>
                <c:pt idx="116">
                  <c:v>6.652054794520548</c:v>
                </c:pt>
                <c:pt idx="117">
                  <c:v>6.736986301369863</c:v>
                </c:pt>
                <c:pt idx="118">
                  <c:v>6.77808219178082</c:v>
                </c:pt>
                <c:pt idx="119">
                  <c:v>6.821917808219178</c:v>
                </c:pt>
                <c:pt idx="120">
                  <c:v>6.904109589041096</c:v>
                </c:pt>
                <c:pt idx="121">
                  <c:v>6.98904109589041</c:v>
                </c:pt>
                <c:pt idx="122">
                  <c:v>7.03013698630137</c:v>
                </c:pt>
                <c:pt idx="123">
                  <c:v>7.282191780821917</c:v>
                </c:pt>
                <c:pt idx="124">
                  <c:v>7.526027397260274</c:v>
                </c:pt>
                <c:pt idx="125">
                  <c:v>7.77808219178082</c:v>
                </c:pt>
                <c:pt idx="126">
                  <c:v>8.03013698630137</c:v>
                </c:pt>
                <c:pt idx="127">
                  <c:v>8.282191780821918</c:v>
                </c:pt>
                <c:pt idx="128">
                  <c:v>8.526027397260273</c:v>
                </c:pt>
                <c:pt idx="129">
                  <c:v>8.778082191780822</c:v>
                </c:pt>
                <c:pt idx="130">
                  <c:v>9.03013698630137</c:v>
                </c:pt>
                <c:pt idx="131">
                  <c:v>9.282191780821918</c:v>
                </c:pt>
                <c:pt idx="132">
                  <c:v>9.526027397260273</c:v>
                </c:pt>
                <c:pt idx="133">
                  <c:v>9.778082191780822</c:v>
                </c:pt>
                <c:pt idx="134">
                  <c:v>10.78082191780822</c:v>
                </c:pt>
                <c:pt idx="135">
                  <c:v>11.03287671232877</c:v>
                </c:pt>
                <c:pt idx="136">
                  <c:v>11.28493150684931</c:v>
                </c:pt>
                <c:pt idx="137">
                  <c:v>11.78082191780822</c:v>
                </c:pt>
                <c:pt idx="138">
                  <c:v>12.52876712328767</c:v>
                </c:pt>
                <c:pt idx="139">
                  <c:v>13.28493150684931</c:v>
                </c:pt>
                <c:pt idx="140">
                  <c:v>18.28767123287671</c:v>
                </c:pt>
                <c:pt idx="141">
                  <c:v>19.29041095890411</c:v>
                </c:pt>
                <c:pt idx="142">
                  <c:v>19.53424657534246</c:v>
                </c:pt>
                <c:pt idx="143">
                  <c:v>20.29041095890411</c:v>
                </c:pt>
                <c:pt idx="144">
                  <c:v>20.53424657534246</c:v>
                </c:pt>
                <c:pt idx="145">
                  <c:v>21.29041095890411</c:v>
                </c:pt>
                <c:pt idx="146">
                  <c:v>21.53424657534246</c:v>
                </c:pt>
                <c:pt idx="147">
                  <c:v>21.78630136986301</c:v>
                </c:pt>
                <c:pt idx="148">
                  <c:v>22.03835616438356</c:v>
                </c:pt>
                <c:pt idx="149">
                  <c:v>22.29041095890411</c:v>
                </c:pt>
                <c:pt idx="150">
                  <c:v>22.53698630136986</c:v>
                </c:pt>
                <c:pt idx="151">
                  <c:v>22.78904109589041</c:v>
                </c:pt>
                <c:pt idx="152">
                  <c:v>23.04109589041096</c:v>
                </c:pt>
                <c:pt idx="153">
                  <c:v>23.29315068493151</c:v>
                </c:pt>
                <c:pt idx="154">
                  <c:v>23.53698630136986</c:v>
                </c:pt>
                <c:pt idx="155">
                  <c:v>23.78904109589041</c:v>
                </c:pt>
                <c:pt idx="156">
                  <c:v>24.04109589041096</c:v>
                </c:pt>
                <c:pt idx="157">
                  <c:v>24.29315068493151</c:v>
                </c:pt>
                <c:pt idx="158">
                  <c:v>24.53698630136986</c:v>
                </c:pt>
                <c:pt idx="159">
                  <c:v>24.78904109589041</c:v>
                </c:pt>
                <c:pt idx="160">
                  <c:v>25.04109589041096</c:v>
                </c:pt>
                <c:pt idx="161">
                  <c:v>25.29315068493151</c:v>
                </c:pt>
                <c:pt idx="162">
                  <c:v>25.53698630136986</c:v>
                </c:pt>
                <c:pt idx="163">
                  <c:v>25.78904109589041</c:v>
                </c:pt>
                <c:pt idx="164">
                  <c:v>26.04109589041096</c:v>
                </c:pt>
                <c:pt idx="165">
                  <c:v>26.29315068493151</c:v>
                </c:pt>
                <c:pt idx="166">
                  <c:v>26.53972602739726</c:v>
                </c:pt>
                <c:pt idx="167">
                  <c:v>26.79178082191781</c:v>
                </c:pt>
                <c:pt idx="168">
                  <c:v>27.04383561643836</c:v>
                </c:pt>
                <c:pt idx="169">
                  <c:v>27.2958904109589</c:v>
                </c:pt>
                <c:pt idx="170">
                  <c:v>27.53972602739726</c:v>
                </c:pt>
                <c:pt idx="171">
                  <c:v>27.79178082191781</c:v>
                </c:pt>
                <c:pt idx="172">
                  <c:v>28.04383561643836</c:v>
                </c:pt>
                <c:pt idx="173">
                  <c:v>28.2958904109589</c:v>
                </c:pt>
                <c:pt idx="174">
                  <c:v>28.53972602739726</c:v>
                </c:pt>
                <c:pt idx="175">
                  <c:v>28.79178082191781</c:v>
                </c:pt>
                <c:pt idx="176">
                  <c:v>29.04383561643836</c:v>
                </c:pt>
                <c:pt idx="177">
                  <c:v>29.2958904109589</c:v>
                </c:pt>
                <c:pt idx="178">
                  <c:v>29.53972602739726</c:v>
                </c:pt>
                <c:pt idx="179">
                  <c:v>29.79178082191781</c:v>
                </c:pt>
              </c:numCache>
            </c:numRef>
          </c:xVal>
          <c:yVal>
            <c:numRef>
              <c:f>spotCurve_p3Spline_knot4!$K$3:$K$182</c:f>
              <c:numCache>
                <c:formatCode>General</c:formatCode>
                <c:ptCount val="180"/>
                <c:pt idx="0">
                  <c:v>0.0129374797713905</c:v>
                </c:pt>
                <c:pt idx="1">
                  <c:v>0.0132649850778843</c:v>
                </c:pt>
                <c:pt idx="2">
                  <c:v>0.013485872713796</c:v>
                </c:pt>
                <c:pt idx="3">
                  <c:v>0.0136479540786598</c:v>
                </c:pt>
                <c:pt idx="4">
                  <c:v>0.0138338274612121</c:v>
                </c:pt>
                <c:pt idx="5">
                  <c:v>0.0140138785287731</c:v>
                </c:pt>
                <c:pt idx="6">
                  <c:v>0.0141639122328583</c:v>
                </c:pt>
                <c:pt idx="7">
                  <c:v>0.0143638860719583</c:v>
                </c:pt>
                <c:pt idx="8">
                  <c:v>0.0144730324820422</c:v>
                </c:pt>
                <c:pt idx="9">
                  <c:v>0.0145670405389542</c:v>
                </c:pt>
                <c:pt idx="10">
                  <c:v>0.0146646348751091</c:v>
                </c:pt>
                <c:pt idx="11">
                  <c:v>0.0147651366369638</c:v>
                </c:pt>
                <c:pt idx="12">
                  <c:v>0.0148528177451301</c:v>
                </c:pt>
                <c:pt idx="13">
                  <c:v>0.0149403736137376</c:v>
                </c:pt>
                <c:pt idx="14">
                  <c:v>0.0150238737129828</c:v>
                </c:pt>
                <c:pt idx="15">
                  <c:v>0.0151225842049268</c:v>
                </c:pt>
                <c:pt idx="16">
                  <c:v>0.0152062754282497</c:v>
                </c:pt>
                <c:pt idx="17">
                  <c:v>0.0152917935323479</c:v>
                </c:pt>
                <c:pt idx="18">
                  <c:v>0.0153726222136398</c:v>
                </c:pt>
                <c:pt idx="19">
                  <c:v>0.0153747605532866</c:v>
                </c:pt>
                <c:pt idx="20">
                  <c:v>0.0154431332903474</c:v>
                </c:pt>
                <c:pt idx="21">
                  <c:v>0.0155355579473488</c:v>
                </c:pt>
                <c:pt idx="22">
                  <c:v>0.0156042731698319</c:v>
                </c:pt>
                <c:pt idx="23">
                  <c:v>0.0156373087208092</c:v>
                </c:pt>
                <c:pt idx="24">
                  <c:v>0.0157046691898999</c:v>
                </c:pt>
                <c:pt idx="25">
                  <c:v>0.0157960327820852</c:v>
                </c:pt>
                <c:pt idx="26">
                  <c:v>0.0158595093795343</c:v>
                </c:pt>
                <c:pt idx="27">
                  <c:v>0.0158998155467655</c:v>
                </c:pt>
                <c:pt idx="28">
                  <c:v>0.0159638675533588</c:v>
                </c:pt>
                <c:pt idx="29">
                  <c:v>0.0160270066912895</c:v>
                </c:pt>
                <c:pt idx="30">
                  <c:v>0.0160877460928438</c:v>
                </c:pt>
                <c:pt idx="31">
                  <c:v>0.0161739589351431</c:v>
                </c:pt>
                <c:pt idx="32">
                  <c:v>0.016226655067081</c:v>
                </c:pt>
                <c:pt idx="33">
                  <c:v>0.016271531458103</c:v>
                </c:pt>
                <c:pt idx="34">
                  <c:v>0.0163242004640245</c:v>
                </c:pt>
                <c:pt idx="35">
                  <c:v>0.0163778224770905</c:v>
                </c:pt>
                <c:pt idx="36">
                  <c:v>0.0164338137738608</c:v>
                </c:pt>
                <c:pt idx="37">
                  <c:v>0.0164861419623847</c:v>
                </c:pt>
                <c:pt idx="38">
                  <c:v>0.0165345219268441</c:v>
                </c:pt>
                <c:pt idx="39">
                  <c:v>0.0166005344754396</c:v>
                </c:pt>
                <c:pt idx="40">
                  <c:v>0.0166517841928156</c:v>
                </c:pt>
                <c:pt idx="41">
                  <c:v>0.0167117212676318</c:v>
                </c:pt>
                <c:pt idx="42">
                  <c:v>0.0167644107293419</c:v>
                </c:pt>
                <c:pt idx="43">
                  <c:v>0.0167993688845716</c:v>
                </c:pt>
                <c:pt idx="44">
                  <c:v>0.0168435151913762</c:v>
                </c:pt>
                <c:pt idx="45">
                  <c:v>0.0169193229951386</c:v>
                </c:pt>
                <c:pt idx="46">
                  <c:v>0.017003168897246</c:v>
                </c:pt>
                <c:pt idx="47">
                  <c:v>0.0170492645561981</c:v>
                </c:pt>
                <c:pt idx="48">
                  <c:v>0.0171238664578014</c:v>
                </c:pt>
                <c:pt idx="49">
                  <c:v>0.0171733770626356</c:v>
                </c:pt>
                <c:pt idx="50">
                  <c:v>0.0172104453730572</c:v>
                </c:pt>
                <c:pt idx="51">
                  <c:v>0.017265961736839</c:v>
                </c:pt>
                <c:pt idx="52">
                  <c:v>0.0173205838936121</c:v>
                </c:pt>
                <c:pt idx="53">
                  <c:v>0.0173762113999225</c:v>
                </c:pt>
                <c:pt idx="54">
                  <c:v>0.0174536705768597</c:v>
                </c:pt>
                <c:pt idx="55">
                  <c:v>0.0175025657159226</c:v>
                </c:pt>
                <c:pt idx="56">
                  <c:v>0.0175484163329634</c:v>
                </c:pt>
                <c:pt idx="57">
                  <c:v>0.01759390411268</c:v>
                </c:pt>
                <c:pt idx="58">
                  <c:v>0.0176530151702648</c:v>
                </c:pt>
                <c:pt idx="59">
                  <c:v>0.0176781325981681</c:v>
                </c:pt>
                <c:pt idx="60">
                  <c:v>0.0177492673632349</c:v>
                </c:pt>
                <c:pt idx="61">
                  <c:v>0.0178563354845812</c:v>
                </c:pt>
                <c:pt idx="62">
                  <c:v>0.0179737341833992</c:v>
                </c:pt>
                <c:pt idx="63">
                  <c:v>0.0179727522121104</c:v>
                </c:pt>
                <c:pt idx="64">
                  <c:v>0.0180504569717071</c:v>
                </c:pt>
                <c:pt idx="65">
                  <c:v>0.0181605523613008</c:v>
                </c:pt>
                <c:pt idx="66">
                  <c:v>0.0182436191654248</c:v>
                </c:pt>
                <c:pt idx="67">
                  <c:v>0.0182484400130888</c:v>
                </c:pt>
                <c:pt idx="68">
                  <c:v>0.0183614795959458</c:v>
                </c:pt>
                <c:pt idx="69">
                  <c:v>0.0184598732967726</c:v>
                </c:pt>
                <c:pt idx="70">
                  <c:v>0.0185664852374257</c:v>
                </c:pt>
                <c:pt idx="71">
                  <c:v>0.0185871281444614</c:v>
                </c:pt>
                <c:pt idx="72">
                  <c:v>0.0186868512041637</c:v>
                </c:pt>
                <c:pt idx="73">
                  <c:v>0.0187794204548092</c:v>
                </c:pt>
                <c:pt idx="74">
                  <c:v>0.018875251920189</c:v>
                </c:pt>
                <c:pt idx="75">
                  <c:v>0.0188979961382429</c:v>
                </c:pt>
                <c:pt idx="76">
                  <c:v>0.0189541014413074</c:v>
                </c:pt>
                <c:pt idx="77">
                  <c:v>0.019047076777552</c:v>
                </c:pt>
                <c:pt idx="78">
                  <c:v>0.0191658322092947</c:v>
                </c:pt>
                <c:pt idx="79">
                  <c:v>0.0191951056584272</c:v>
                </c:pt>
                <c:pt idx="80">
                  <c:v>0.0192238823967256</c:v>
                </c:pt>
                <c:pt idx="81">
                  <c:v>0.0193263429211861</c:v>
                </c:pt>
                <c:pt idx="82">
                  <c:v>0.0194059712880386</c:v>
                </c:pt>
                <c:pt idx="83">
                  <c:v>0.019451595329519</c:v>
                </c:pt>
                <c:pt idx="84">
                  <c:v>0.0195111263714931</c:v>
                </c:pt>
                <c:pt idx="85">
                  <c:v>0.0195934117454721</c:v>
                </c:pt>
                <c:pt idx="86">
                  <c:v>0.0196827656679924</c:v>
                </c:pt>
                <c:pt idx="87">
                  <c:v>0.0197397401203134</c:v>
                </c:pt>
                <c:pt idx="88">
                  <c:v>0.0198000493168996</c:v>
                </c:pt>
                <c:pt idx="89">
                  <c:v>0.0198770000947524</c:v>
                </c:pt>
                <c:pt idx="90">
                  <c:v>0.0199597370628456</c:v>
                </c:pt>
                <c:pt idx="91">
                  <c:v>0.0200149266041368</c:v>
                </c:pt>
                <c:pt idx="92">
                  <c:v>0.0200389519555388</c:v>
                </c:pt>
                <c:pt idx="93">
                  <c:v>0.0201229712790677</c:v>
                </c:pt>
                <c:pt idx="94">
                  <c:v>0.0202314975330475</c:v>
                </c:pt>
                <c:pt idx="95">
                  <c:v>0.0202611680485325</c:v>
                </c:pt>
                <c:pt idx="96">
                  <c:v>0.0203060912628764</c:v>
                </c:pt>
                <c:pt idx="97">
                  <c:v>0.0203974699655219</c:v>
                </c:pt>
                <c:pt idx="98">
                  <c:v>0.0204619448732379</c:v>
                </c:pt>
                <c:pt idx="99">
                  <c:v>0.0204955243441774</c:v>
                </c:pt>
                <c:pt idx="100">
                  <c:v>0.0205554611971724</c:v>
                </c:pt>
                <c:pt idx="101">
                  <c:v>0.0206441303837943</c:v>
                </c:pt>
                <c:pt idx="102">
                  <c:v>0.0207368475187286</c:v>
                </c:pt>
                <c:pt idx="103">
                  <c:v>0.0207017388087833</c:v>
                </c:pt>
                <c:pt idx="104">
                  <c:v>0.02082345808813</c:v>
                </c:pt>
                <c:pt idx="105">
                  <c:v>0.0208975681917915</c:v>
                </c:pt>
                <c:pt idx="106">
                  <c:v>0.0209604882387494</c:v>
                </c:pt>
                <c:pt idx="107">
                  <c:v>0.0209270194974009</c:v>
                </c:pt>
                <c:pt idx="108">
                  <c:v>0.0210039269400228</c:v>
                </c:pt>
                <c:pt idx="109">
                  <c:v>0.0210755244165107</c:v>
                </c:pt>
                <c:pt idx="110">
                  <c:v>0.0211586426315106</c:v>
                </c:pt>
                <c:pt idx="111">
                  <c:v>0.0212277661367292</c:v>
                </c:pt>
                <c:pt idx="112">
                  <c:v>0.0213078399799463</c:v>
                </c:pt>
                <c:pt idx="113">
                  <c:v>0.0213794975788604</c:v>
                </c:pt>
                <c:pt idx="114">
                  <c:v>0.0213796632401149</c:v>
                </c:pt>
                <c:pt idx="115">
                  <c:v>0.0214615899605146</c:v>
                </c:pt>
                <c:pt idx="116">
                  <c:v>0.0215261291276458</c:v>
                </c:pt>
                <c:pt idx="117">
                  <c:v>0.0215909083945355</c:v>
                </c:pt>
                <c:pt idx="118">
                  <c:v>0.0216077460704867</c:v>
                </c:pt>
                <c:pt idx="119">
                  <c:v>0.0216925669719969</c:v>
                </c:pt>
                <c:pt idx="120">
                  <c:v>0.0217378848731387</c:v>
                </c:pt>
                <c:pt idx="121">
                  <c:v>0.0217970177166477</c:v>
                </c:pt>
                <c:pt idx="122">
                  <c:v>0.0218303217893569</c:v>
                </c:pt>
                <c:pt idx="123">
                  <c:v>0.0220573638998384</c:v>
                </c:pt>
                <c:pt idx="124">
                  <c:v>0.0222180608202487</c:v>
                </c:pt>
                <c:pt idx="125">
                  <c:v>0.0224236107976594</c:v>
                </c:pt>
                <c:pt idx="126">
                  <c:v>0.0225879763893536</c:v>
                </c:pt>
                <c:pt idx="127">
                  <c:v>0.0228322557861262</c:v>
                </c:pt>
                <c:pt idx="128">
                  <c:v>0.022983409470695</c:v>
                </c:pt>
                <c:pt idx="129">
                  <c:v>0.0231695328195554</c:v>
                </c:pt>
                <c:pt idx="130">
                  <c:v>0.0232789953917322</c:v>
                </c:pt>
                <c:pt idx="131">
                  <c:v>0.0234094199637037</c:v>
                </c:pt>
                <c:pt idx="132">
                  <c:v>0.0235244700696431</c:v>
                </c:pt>
                <c:pt idx="133">
                  <c:v>0.0236866565200128</c:v>
                </c:pt>
                <c:pt idx="134">
                  <c:v>0.0238481539470906</c:v>
                </c:pt>
                <c:pt idx="135">
                  <c:v>0.0239881340292977</c:v>
                </c:pt>
                <c:pt idx="136">
                  <c:v>0.024100397234738</c:v>
                </c:pt>
                <c:pt idx="137">
                  <c:v>0.0242097056637807</c:v>
                </c:pt>
                <c:pt idx="138">
                  <c:v>0.0244700853602896</c:v>
                </c:pt>
                <c:pt idx="139">
                  <c:v>0.0248182156755492</c:v>
                </c:pt>
                <c:pt idx="140">
                  <c:v>0.0260571051219022</c:v>
                </c:pt>
                <c:pt idx="141">
                  <c:v>0.0261883126114046</c:v>
                </c:pt>
                <c:pt idx="142">
                  <c:v>0.0261895406083093</c:v>
                </c:pt>
                <c:pt idx="143">
                  <c:v>0.0263871277426571</c:v>
                </c:pt>
                <c:pt idx="144">
                  <c:v>0.0264013066216028</c:v>
                </c:pt>
                <c:pt idx="145">
                  <c:v>0.0266603252110601</c:v>
                </c:pt>
                <c:pt idx="146">
                  <c:v>0.0265831572043914</c:v>
                </c:pt>
                <c:pt idx="147">
                  <c:v>0.0265905830394508</c:v>
                </c:pt>
                <c:pt idx="148">
                  <c:v>0.0266457729348445</c:v>
                </c:pt>
                <c:pt idx="149">
                  <c:v>0.0266541522694904</c:v>
                </c:pt>
                <c:pt idx="150">
                  <c:v>0.0267216638677716</c:v>
                </c:pt>
                <c:pt idx="151">
                  <c:v>0.0268343675792319</c:v>
                </c:pt>
                <c:pt idx="152">
                  <c:v>0.0268216933261997</c:v>
                </c:pt>
                <c:pt idx="153">
                  <c:v>0.0267981563568813</c:v>
                </c:pt>
                <c:pt idx="154">
                  <c:v>0.0268829974858265</c:v>
                </c:pt>
                <c:pt idx="155">
                  <c:v>0.027019955437852</c:v>
                </c:pt>
                <c:pt idx="156">
                  <c:v>0.0271701756292636</c:v>
                </c:pt>
                <c:pt idx="157">
                  <c:v>0.0272190361028195</c:v>
                </c:pt>
                <c:pt idx="158">
                  <c:v>0.0272830863832128</c:v>
                </c:pt>
                <c:pt idx="159">
                  <c:v>0.0273838945523992</c:v>
                </c:pt>
                <c:pt idx="160">
                  <c:v>0.027436122867526</c:v>
                </c:pt>
                <c:pt idx="161">
                  <c:v>0.0274163130487161</c:v>
                </c:pt>
                <c:pt idx="162">
                  <c:v>0.0275126632272401</c:v>
                </c:pt>
                <c:pt idx="163">
                  <c:v>0.0274263443553416</c:v>
                </c:pt>
                <c:pt idx="164">
                  <c:v>0.0274594286551619</c:v>
                </c:pt>
                <c:pt idx="165">
                  <c:v>0.0275404504522319</c:v>
                </c:pt>
                <c:pt idx="166">
                  <c:v>0.0276422035101908</c:v>
                </c:pt>
                <c:pt idx="167">
                  <c:v>0.0277569032993193</c:v>
                </c:pt>
                <c:pt idx="168">
                  <c:v>0.0278486444218536</c:v>
                </c:pt>
                <c:pt idx="169">
                  <c:v>0.0280386659608762</c:v>
                </c:pt>
                <c:pt idx="170">
                  <c:v>0.0279782512512528</c:v>
                </c:pt>
                <c:pt idx="171">
                  <c:v>0.0280810539237868</c:v>
                </c:pt>
                <c:pt idx="172">
                  <c:v>0.0281237245619078</c:v>
                </c:pt>
                <c:pt idx="173">
                  <c:v>0.0283340585196054</c:v>
                </c:pt>
                <c:pt idx="174">
                  <c:v>0.0284069002525292</c:v>
                </c:pt>
                <c:pt idx="175">
                  <c:v>0.0285692573739415</c:v>
                </c:pt>
                <c:pt idx="176">
                  <c:v>0.0284679891985718</c:v>
                </c:pt>
                <c:pt idx="177">
                  <c:v>0.0285198746380672</c:v>
                </c:pt>
                <c:pt idx="178">
                  <c:v>0.0285989474811056</c:v>
                </c:pt>
                <c:pt idx="179">
                  <c:v>0.0287653965375514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9E2-4440-BC9D-7F1AECC1D2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1921360"/>
        <c:axId val="601917904"/>
      </c:scatterChart>
      <c:valAx>
        <c:axId val="601921360"/>
        <c:scaling>
          <c:orientation val="minMax"/>
          <c:max val="30.0"/>
          <c:min val="0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to Maturity (years)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917904"/>
        <c:crosses val="autoZero"/>
        <c:crossBetween val="midCat"/>
      </c:valAx>
      <c:valAx>
        <c:axId val="60191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Yield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921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Yield Error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spotCurve_p3Spline_knot4!$B$3:$B$182</c:f>
              <c:numCache>
                <c:formatCode>0.00</c:formatCode>
                <c:ptCount val="180"/>
                <c:pt idx="0">
                  <c:v>0.520547945205479</c:v>
                </c:pt>
                <c:pt idx="1">
                  <c:v>0.564383561643836</c:v>
                </c:pt>
                <c:pt idx="2">
                  <c:v>0.605479452054794</c:v>
                </c:pt>
                <c:pt idx="3">
                  <c:v>0.646575342465753</c:v>
                </c:pt>
                <c:pt idx="4">
                  <c:v>0.687671232876712</c:v>
                </c:pt>
                <c:pt idx="5">
                  <c:v>0.731506849315068</c:v>
                </c:pt>
                <c:pt idx="6">
                  <c:v>0.772602739726027</c:v>
                </c:pt>
                <c:pt idx="7">
                  <c:v>0.816438356164383</c:v>
                </c:pt>
                <c:pt idx="8">
                  <c:v>0.857534246575342</c:v>
                </c:pt>
                <c:pt idx="9">
                  <c:v>0.898630136986301</c:v>
                </c:pt>
                <c:pt idx="10">
                  <c:v>0.93972602739726</c:v>
                </c:pt>
                <c:pt idx="11">
                  <c:v>0.983561643835616</c:v>
                </c:pt>
                <c:pt idx="12">
                  <c:v>1.024657534246575</c:v>
                </c:pt>
                <c:pt idx="13">
                  <c:v>1.065753424657534</c:v>
                </c:pt>
                <c:pt idx="14">
                  <c:v>1.106849315068493</c:v>
                </c:pt>
                <c:pt idx="15">
                  <c:v>1.15068493150685</c:v>
                </c:pt>
                <c:pt idx="16">
                  <c:v>1.191780821917808</c:v>
                </c:pt>
                <c:pt idx="17">
                  <c:v>1.235616438356164</c:v>
                </c:pt>
                <c:pt idx="18">
                  <c:v>1.276712328767123</c:v>
                </c:pt>
                <c:pt idx="19">
                  <c:v>1.312328767123288</c:v>
                </c:pt>
                <c:pt idx="20">
                  <c:v>1.353424657534247</c:v>
                </c:pt>
                <c:pt idx="21">
                  <c:v>1.397260273972603</c:v>
                </c:pt>
                <c:pt idx="22">
                  <c:v>1.438356164383562</c:v>
                </c:pt>
                <c:pt idx="23">
                  <c:v>1.47945205479452</c:v>
                </c:pt>
                <c:pt idx="24">
                  <c:v>1.52054794520548</c:v>
                </c:pt>
                <c:pt idx="25">
                  <c:v>1.564383561643835</c:v>
                </c:pt>
                <c:pt idx="26">
                  <c:v>1.605479452054794</c:v>
                </c:pt>
                <c:pt idx="27">
                  <c:v>1.646575342465753</c:v>
                </c:pt>
                <c:pt idx="28">
                  <c:v>1.687671232876712</c:v>
                </c:pt>
                <c:pt idx="29">
                  <c:v>1.731506849315068</c:v>
                </c:pt>
                <c:pt idx="30">
                  <c:v>1.772602739726027</c:v>
                </c:pt>
                <c:pt idx="31">
                  <c:v>1.816438356164383</c:v>
                </c:pt>
                <c:pt idx="32">
                  <c:v>1.857534246575342</c:v>
                </c:pt>
                <c:pt idx="33">
                  <c:v>1.898630136986301</c:v>
                </c:pt>
                <c:pt idx="34">
                  <c:v>1.93972602739726</c:v>
                </c:pt>
                <c:pt idx="35">
                  <c:v>1.983561643835616</c:v>
                </c:pt>
                <c:pt idx="36">
                  <c:v>2.024657534246575</c:v>
                </c:pt>
                <c:pt idx="37">
                  <c:v>2.065753424657534</c:v>
                </c:pt>
                <c:pt idx="38">
                  <c:v>2.106849315068493</c:v>
                </c:pt>
                <c:pt idx="39">
                  <c:v>2.150684931506849</c:v>
                </c:pt>
                <c:pt idx="40">
                  <c:v>2.191780821917808</c:v>
                </c:pt>
                <c:pt idx="41">
                  <c:v>2.235616438356165</c:v>
                </c:pt>
                <c:pt idx="42">
                  <c:v>2.276712328767123</c:v>
                </c:pt>
                <c:pt idx="43">
                  <c:v>2.315068493150685</c:v>
                </c:pt>
                <c:pt idx="44">
                  <c:v>2.356164383561644</c:v>
                </c:pt>
                <c:pt idx="45">
                  <c:v>2.4</c:v>
                </c:pt>
                <c:pt idx="46">
                  <c:v>2.482191780821917</c:v>
                </c:pt>
                <c:pt idx="47">
                  <c:v>2.523287671232876</c:v>
                </c:pt>
                <c:pt idx="48">
                  <c:v>2.567123287671232</c:v>
                </c:pt>
                <c:pt idx="49">
                  <c:v>2.608219178082192</c:v>
                </c:pt>
                <c:pt idx="50">
                  <c:v>2.649315068493151</c:v>
                </c:pt>
                <c:pt idx="51">
                  <c:v>2.690410958904109</c:v>
                </c:pt>
                <c:pt idx="52">
                  <c:v>2.734246575342466</c:v>
                </c:pt>
                <c:pt idx="53">
                  <c:v>2.775342465753424</c:v>
                </c:pt>
                <c:pt idx="54">
                  <c:v>2.819178082191781</c:v>
                </c:pt>
                <c:pt idx="55">
                  <c:v>2.860273972602739</c:v>
                </c:pt>
                <c:pt idx="56">
                  <c:v>2.901369863013699</c:v>
                </c:pt>
                <c:pt idx="57">
                  <c:v>2.942465753424658</c:v>
                </c:pt>
                <c:pt idx="58">
                  <c:v>2.986301369863014</c:v>
                </c:pt>
                <c:pt idx="59">
                  <c:v>3.027397260273972</c:v>
                </c:pt>
                <c:pt idx="60">
                  <c:v>3.068493150684931</c:v>
                </c:pt>
                <c:pt idx="61">
                  <c:v>3.153424657534246</c:v>
                </c:pt>
                <c:pt idx="62">
                  <c:v>3.238356164383561</c:v>
                </c:pt>
                <c:pt idx="63">
                  <c:v>3.27945205479452</c:v>
                </c:pt>
                <c:pt idx="64">
                  <c:v>3.315068493150685</c:v>
                </c:pt>
                <c:pt idx="65">
                  <c:v>3.4</c:v>
                </c:pt>
                <c:pt idx="66">
                  <c:v>3.482191780821917</c:v>
                </c:pt>
                <c:pt idx="67">
                  <c:v>3.523287671232876</c:v>
                </c:pt>
                <c:pt idx="68">
                  <c:v>3.567123287671232</c:v>
                </c:pt>
                <c:pt idx="69">
                  <c:v>3.649315068493151</c:v>
                </c:pt>
                <c:pt idx="70">
                  <c:v>3.734246575342466</c:v>
                </c:pt>
                <c:pt idx="71">
                  <c:v>3.775342465753424</c:v>
                </c:pt>
                <c:pt idx="72">
                  <c:v>3.819178082191781</c:v>
                </c:pt>
                <c:pt idx="73">
                  <c:v>3.901369863013699</c:v>
                </c:pt>
                <c:pt idx="74">
                  <c:v>3.986301369863014</c:v>
                </c:pt>
                <c:pt idx="75">
                  <c:v>4.027397260273973</c:v>
                </c:pt>
                <c:pt idx="76">
                  <c:v>4.068493150684931</c:v>
                </c:pt>
                <c:pt idx="77">
                  <c:v>4.153424657534247</c:v>
                </c:pt>
                <c:pt idx="78">
                  <c:v>4.23835616438356</c:v>
                </c:pt>
                <c:pt idx="79">
                  <c:v>4.27945205479452</c:v>
                </c:pt>
                <c:pt idx="80">
                  <c:v>4.315068493150684</c:v>
                </c:pt>
                <c:pt idx="81">
                  <c:v>4.4</c:v>
                </c:pt>
                <c:pt idx="82">
                  <c:v>4.482191780821917</c:v>
                </c:pt>
                <c:pt idx="83">
                  <c:v>4.523287671232877</c:v>
                </c:pt>
                <c:pt idx="84">
                  <c:v>4.567123287671233</c:v>
                </c:pt>
                <c:pt idx="85">
                  <c:v>4.64931506849315</c:v>
                </c:pt>
                <c:pt idx="86">
                  <c:v>4.734246575342465</c:v>
                </c:pt>
                <c:pt idx="87">
                  <c:v>4.775342465753424</c:v>
                </c:pt>
                <c:pt idx="88">
                  <c:v>4.81917808219178</c:v>
                </c:pt>
                <c:pt idx="89">
                  <c:v>4.901369863013698</c:v>
                </c:pt>
                <c:pt idx="90">
                  <c:v>4.986301369863014</c:v>
                </c:pt>
                <c:pt idx="91">
                  <c:v>5.027397260273973</c:v>
                </c:pt>
                <c:pt idx="92">
                  <c:v>5.068493150684931</c:v>
                </c:pt>
                <c:pt idx="93">
                  <c:v>5.153424657534247</c:v>
                </c:pt>
                <c:pt idx="94">
                  <c:v>5.23835616438356</c:v>
                </c:pt>
                <c:pt idx="95">
                  <c:v>5.27945205479452</c:v>
                </c:pt>
                <c:pt idx="96">
                  <c:v>5.315068493150684</c:v>
                </c:pt>
                <c:pt idx="97">
                  <c:v>5.4</c:v>
                </c:pt>
                <c:pt idx="98">
                  <c:v>5.482191780821917</c:v>
                </c:pt>
                <c:pt idx="99">
                  <c:v>5.523287671232877</c:v>
                </c:pt>
                <c:pt idx="100">
                  <c:v>5.567123287671233</c:v>
                </c:pt>
                <c:pt idx="101">
                  <c:v>5.64931506849315</c:v>
                </c:pt>
                <c:pt idx="102">
                  <c:v>5.734246575342465</c:v>
                </c:pt>
                <c:pt idx="103">
                  <c:v>5.775342465753424</c:v>
                </c:pt>
                <c:pt idx="104">
                  <c:v>5.81917808219178</c:v>
                </c:pt>
                <c:pt idx="105">
                  <c:v>5.901369863013698</c:v>
                </c:pt>
                <c:pt idx="106">
                  <c:v>5.986301369863014</c:v>
                </c:pt>
                <c:pt idx="107">
                  <c:v>6.027397260273973</c:v>
                </c:pt>
                <c:pt idx="108">
                  <c:v>6.068493150684931</c:v>
                </c:pt>
                <c:pt idx="109">
                  <c:v>6.153424657534247</c:v>
                </c:pt>
                <c:pt idx="110">
                  <c:v>6.27945205479452</c:v>
                </c:pt>
                <c:pt idx="111">
                  <c:v>6.317808219178082</c:v>
                </c:pt>
                <c:pt idx="112">
                  <c:v>6.402739726027397</c:v>
                </c:pt>
                <c:pt idx="113">
                  <c:v>6.484931506849315</c:v>
                </c:pt>
                <c:pt idx="114">
                  <c:v>6.526027397260274</c:v>
                </c:pt>
                <c:pt idx="115">
                  <c:v>6.56986301369863</c:v>
                </c:pt>
                <c:pt idx="116">
                  <c:v>6.652054794520548</c:v>
                </c:pt>
                <c:pt idx="117">
                  <c:v>6.736986301369863</c:v>
                </c:pt>
                <c:pt idx="118">
                  <c:v>6.77808219178082</c:v>
                </c:pt>
                <c:pt idx="119">
                  <c:v>6.821917808219178</c:v>
                </c:pt>
                <c:pt idx="120">
                  <c:v>6.904109589041096</c:v>
                </c:pt>
                <c:pt idx="121">
                  <c:v>6.98904109589041</c:v>
                </c:pt>
                <c:pt idx="122">
                  <c:v>7.03013698630137</c:v>
                </c:pt>
                <c:pt idx="123">
                  <c:v>7.282191780821917</c:v>
                </c:pt>
                <c:pt idx="124">
                  <c:v>7.526027397260274</c:v>
                </c:pt>
                <c:pt idx="125">
                  <c:v>7.77808219178082</c:v>
                </c:pt>
                <c:pt idx="126">
                  <c:v>8.03013698630137</c:v>
                </c:pt>
                <c:pt idx="127">
                  <c:v>8.282191780821918</c:v>
                </c:pt>
                <c:pt idx="128">
                  <c:v>8.526027397260273</c:v>
                </c:pt>
                <c:pt idx="129">
                  <c:v>8.778082191780822</c:v>
                </c:pt>
                <c:pt idx="130">
                  <c:v>9.03013698630137</c:v>
                </c:pt>
                <c:pt idx="131">
                  <c:v>9.282191780821918</c:v>
                </c:pt>
                <c:pt idx="132">
                  <c:v>9.526027397260273</c:v>
                </c:pt>
                <c:pt idx="133">
                  <c:v>9.778082191780822</c:v>
                </c:pt>
                <c:pt idx="134">
                  <c:v>10.78082191780822</c:v>
                </c:pt>
                <c:pt idx="135">
                  <c:v>11.03287671232877</c:v>
                </c:pt>
                <c:pt idx="136">
                  <c:v>11.28493150684931</c:v>
                </c:pt>
                <c:pt idx="137">
                  <c:v>11.78082191780822</c:v>
                </c:pt>
                <c:pt idx="138">
                  <c:v>12.52876712328767</c:v>
                </c:pt>
                <c:pt idx="139">
                  <c:v>13.28493150684931</c:v>
                </c:pt>
                <c:pt idx="140">
                  <c:v>18.28767123287671</c:v>
                </c:pt>
                <c:pt idx="141">
                  <c:v>19.29041095890411</c:v>
                </c:pt>
                <c:pt idx="142">
                  <c:v>19.53424657534246</c:v>
                </c:pt>
                <c:pt idx="143">
                  <c:v>20.29041095890411</c:v>
                </c:pt>
                <c:pt idx="144">
                  <c:v>20.53424657534246</c:v>
                </c:pt>
                <c:pt idx="145">
                  <c:v>21.29041095890411</c:v>
                </c:pt>
                <c:pt idx="146">
                  <c:v>21.53424657534246</c:v>
                </c:pt>
                <c:pt idx="147">
                  <c:v>21.78630136986301</c:v>
                </c:pt>
                <c:pt idx="148">
                  <c:v>22.03835616438356</c:v>
                </c:pt>
                <c:pt idx="149">
                  <c:v>22.29041095890411</c:v>
                </c:pt>
                <c:pt idx="150">
                  <c:v>22.53698630136986</c:v>
                </c:pt>
                <c:pt idx="151">
                  <c:v>22.78904109589041</c:v>
                </c:pt>
                <c:pt idx="152">
                  <c:v>23.04109589041096</c:v>
                </c:pt>
                <c:pt idx="153">
                  <c:v>23.29315068493151</c:v>
                </c:pt>
                <c:pt idx="154">
                  <c:v>23.53698630136986</c:v>
                </c:pt>
                <c:pt idx="155">
                  <c:v>23.78904109589041</c:v>
                </c:pt>
                <c:pt idx="156">
                  <c:v>24.04109589041096</c:v>
                </c:pt>
                <c:pt idx="157">
                  <c:v>24.29315068493151</c:v>
                </c:pt>
                <c:pt idx="158">
                  <c:v>24.53698630136986</c:v>
                </c:pt>
                <c:pt idx="159">
                  <c:v>24.78904109589041</c:v>
                </c:pt>
                <c:pt idx="160">
                  <c:v>25.04109589041096</c:v>
                </c:pt>
                <c:pt idx="161">
                  <c:v>25.29315068493151</c:v>
                </c:pt>
                <c:pt idx="162">
                  <c:v>25.53698630136986</c:v>
                </c:pt>
                <c:pt idx="163">
                  <c:v>25.78904109589041</c:v>
                </c:pt>
                <c:pt idx="164">
                  <c:v>26.04109589041096</c:v>
                </c:pt>
                <c:pt idx="165">
                  <c:v>26.29315068493151</c:v>
                </c:pt>
                <c:pt idx="166">
                  <c:v>26.53972602739726</c:v>
                </c:pt>
                <c:pt idx="167">
                  <c:v>26.79178082191781</c:v>
                </c:pt>
                <c:pt idx="168">
                  <c:v>27.04383561643836</c:v>
                </c:pt>
                <c:pt idx="169">
                  <c:v>27.2958904109589</c:v>
                </c:pt>
                <c:pt idx="170">
                  <c:v>27.53972602739726</c:v>
                </c:pt>
                <c:pt idx="171">
                  <c:v>27.79178082191781</c:v>
                </c:pt>
                <c:pt idx="172">
                  <c:v>28.04383561643836</c:v>
                </c:pt>
                <c:pt idx="173">
                  <c:v>28.2958904109589</c:v>
                </c:pt>
                <c:pt idx="174">
                  <c:v>28.53972602739726</c:v>
                </c:pt>
                <c:pt idx="175">
                  <c:v>28.79178082191781</c:v>
                </c:pt>
                <c:pt idx="176">
                  <c:v>29.04383561643836</c:v>
                </c:pt>
                <c:pt idx="177">
                  <c:v>29.2958904109589</c:v>
                </c:pt>
                <c:pt idx="178">
                  <c:v>29.53972602739726</c:v>
                </c:pt>
                <c:pt idx="179">
                  <c:v>29.79178082191781</c:v>
                </c:pt>
              </c:numCache>
            </c:numRef>
          </c:xVal>
          <c:yVal>
            <c:numRef>
              <c:f>spotCurve_p3Spline_knot4!$N$3:$N$182</c:f>
              <c:numCache>
                <c:formatCode>General</c:formatCode>
                <c:ptCount val="180"/>
                <c:pt idx="0">
                  <c:v>0.000237479771390461</c:v>
                </c:pt>
                <c:pt idx="1">
                  <c:v>-7.50149221157154E-5</c:v>
                </c:pt>
                <c:pt idx="2">
                  <c:v>-9.41272862040442E-5</c:v>
                </c:pt>
                <c:pt idx="3">
                  <c:v>7.95407865981402E-6</c:v>
                </c:pt>
                <c:pt idx="4">
                  <c:v>-0.000166172538787901</c:v>
                </c:pt>
                <c:pt idx="5">
                  <c:v>-0.000146121471226869</c:v>
                </c:pt>
                <c:pt idx="6">
                  <c:v>-0.000106087767141666</c:v>
                </c:pt>
                <c:pt idx="7">
                  <c:v>-9.61139280417165E-5</c:v>
                </c:pt>
                <c:pt idx="8">
                  <c:v>-0.000226967517957784</c:v>
                </c:pt>
                <c:pt idx="9">
                  <c:v>-0.000222959461045774</c:v>
                </c:pt>
                <c:pt idx="10">
                  <c:v>-0.000215365124890935</c:v>
                </c:pt>
                <c:pt idx="11">
                  <c:v>-0.000204863363036212</c:v>
                </c:pt>
                <c:pt idx="12">
                  <c:v>-0.00018718225486994</c:v>
                </c:pt>
                <c:pt idx="13">
                  <c:v>-9.96263862623504E-5</c:v>
                </c:pt>
                <c:pt idx="14">
                  <c:v>-0.000186126287017209</c:v>
                </c:pt>
                <c:pt idx="15">
                  <c:v>1.25842049268476E-5</c:v>
                </c:pt>
                <c:pt idx="16">
                  <c:v>0.000106275428249675</c:v>
                </c:pt>
                <c:pt idx="17">
                  <c:v>7.17935323478851E-5</c:v>
                </c:pt>
                <c:pt idx="18">
                  <c:v>4.2622213639756E-5</c:v>
                </c:pt>
                <c:pt idx="19">
                  <c:v>9.47605532865894E-5</c:v>
                </c:pt>
                <c:pt idx="20">
                  <c:v>7.31332903474123E-5</c:v>
                </c:pt>
                <c:pt idx="21">
                  <c:v>8.5557947348814E-5</c:v>
                </c:pt>
                <c:pt idx="22">
                  <c:v>7.42731698318549E-5</c:v>
                </c:pt>
                <c:pt idx="23">
                  <c:v>3.73087208092055E-5</c:v>
                </c:pt>
                <c:pt idx="24">
                  <c:v>8.4669189899916E-5</c:v>
                </c:pt>
                <c:pt idx="25">
                  <c:v>0.000286032782085162</c:v>
                </c:pt>
                <c:pt idx="26">
                  <c:v>-3.04906204656764E-5</c:v>
                </c:pt>
                <c:pt idx="27">
                  <c:v>6.9815546765474E-5</c:v>
                </c:pt>
                <c:pt idx="28">
                  <c:v>0.000193867553358824</c:v>
                </c:pt>
                <c:pt idx="29">
                  <c:v>0.000167006691289526</c:v>
                </c:pt>
                <c:pt idx="30">
                  <c:v>0.000157746092843844</c:v>
                </c:pt>
                <c:pt idx="31">
                  <c:v>8.39589351430692E-5</c:v>
                </c:pt>
                <c:pt idx="32">
                  <c:v>9.66550670810223E-5</c:v>
                </c:pt>
                <c:pt idx="33">
                  <c:v>0.000191531458103047</c:v>
                </c:pt>
                <c:pt idx="34">
                  <c:v>0.000204200464024494</c:v>
                </c:pt>
                <c:pt idx="35">
                  <c:v>0.000217822477090533</c:v>
                </c:pt>
                <c:pt idx="36">
                  <c:v>0.00017381377386079</c:v>
                </c:pt>
                <c:pt idx="37">
                  <c:v>0.000196141962384658</c:v>
                </c:pt>
                <c:pt idx="38">
                  <c:v>9.45219268441016E-5</c:v>
                </c:pt>
                <c:pt idx="39">
                  <c:v>0.000190534475439603</c:v>
                </c:pt>
                <c:pt idx="40">
                  <c:v>9.17841928155839E-5</c:v>
                </c:pt>
                <c:pt idx="41">
                  <c:v>0.000171721267631809</c:v>
                </c:pt>
                <c:pt idx="42">
                  <c:v>0.000134410729341894</c:v>
                </c:pt>
                <c:pt idx="43">
                  <c:v>0.000159368884571586</c:v>
                </c:pt>
                <c:pt idx="44">
                  <c:v>2.3515191376236E-5</c:v>
                </c:pt>
                <c:pt idx="45">
                  <c:v>0.000169322995138568</c:v>
                </c:pt>
                <c:pt idx="46">
                  <c:v>0.000113168897245972</c:v>
                </c:pt>
                <c:pt idx="47">
                  <c:v>7.92645561980554E-5</c:v>
                </c:pt>
                <c:pt idx="48">
                  <c:v>0.000183866457801433</c:v>
                </c:pt>
                <c:pt idx="49">
                  <c:v>0.000143377062635581</c:v>
                </c:pt>
                <c:pt idx="50">
                  <c:v>8.04453730572328E-5</c:v>
                </c:pt>
                <c:pt idx="51">
                  <c:v>0.000115961736838963</c:v>
                </c:pt>
                <c:pt idx="52">
                  <c:v>0.000100583893612137</c:v>
                </c:pt>
                <c:pt idx="53">
                  <c:v>0.000206211399922482</c:v>
                </c:pt>
                <c:pt idx="54">
                  <c:v>0.000163670576859683</c:v>
                </c:pt>
                <c:pt idx="55">
                  <c:v>0.000292565715922639</c:v>
                </c:pt>
                <c:pt idx="56">
                  <c:v>0.000138416332963444</c:v>
                </c:pt>
                <c:pt idx="57">
                  <c:v>0.000303904112679987</c:v>
                </c:pt>
                <c:pt idx="58">
                  <c:v>0.00015301517026485</c:v>
                </c:pt>
                <c:pt idx="59">
                  <c:v>5.81325981681147E-5</c:v>
                </c:pt>
                <c:pt idx="60">
                  <c:v>2.92673632348583E-5</c:v>
                </c:pt>
                <c:pt idx="61">
                  <c:v>-3.66451541878796E-6</c:v>
                </c:pt>
                <c:pt idx="62">
                  <c:v>-1.62658166008231E-5</c:v>
                </c:pt>
                <c:pt idx="63">
                  <c:v>0.000152752212110377</c:v>
                </c:pt>
                <c:pt idx="64">
                  <c:v>-4.95430282928845E-5</c:v>
                </c:pt>
                <c:pt idx="65">
                  <c:v>-4.94476386991606E-5</c:v>
                </c:pt>
                <c:pt idx="66">
                  <c:v>-1.63808345752421E-5</c:v>
                </c:pt>
                <c:pt idx="67">
                  <c:v>0.000148440013088818</c:v>
                </c:pt>
                <c:pt idx="68">
                  <c:v>-2.85204040542109E-5</c:v>
                </c:pt>
                <c:pt idx="69">
                  <c:v>-6.01267032274179E-5</c:v>
                </c:pt>
                <c:pt idx="70">
                  <c:v>-8.35147625743299E-5</c:v>
                </c:pt>
                <c:pt idx="71">
                  <c:v>-5.28718555385943E-5</c:v>
                </c:pt>
                <c:pt idx="72">
                  <c:v>-8.31487958363047E-5</c:v>
                </c:pt>
                <c:pt idx="73">
                  <c:v>-7.05795451907583E-5</c:v>
                </c:pt>
                <c:pt idx="74">
                  <c:v>-2.47480798109823E-5</c:v>
                </c:pt>
                <c:pt idx="75">
                  <c:v>8.79961382429135E-5</c:v>
                </c:pt>
                <c:pt idx="76">
                  <c:v>-8.58985586926209E-5</c:v>
                </c:pt>
                <c:pt idx="77">
                  <c:v>-0.000122923222448036</c:v>
                </c:pt>
                <c:pt idx="78">
                  <c:v>-9.41677907052851E-5</c:v>
                </c:pt>
                <c:pt idx="79">
                  <c:v>3.51056584272404E-5</c:v>
                </c:pt>
                <c:pt idx="80">
                  <c:v>-0.000156117603274396</c:v>
                </c:pt>
                <c:pt idx="81">
                  <c:v>-0.000183657078813883</c:v>
                </c:pt>
                <c:pt idx="82">
                  <c:v>-0.000194028711961367</c:v>
                </c:pt>
                <c:pt idx="83">
                  <c:v>-8.40467048095206E-6</c:v>
                </c:pt>
                <c:pt idx="84">
                  <c:v>-0.000148873628506907</c:v>
                </c:pt>
                <c:pt idx="85">
                  <c:v>-0.000186588254527917</c:v>
                </c:pt>
                <c:pt idx="86">
                  <c:v>-0.000207234332007554</c:v>
                </c:pt>
                <c:pt idx="87">
                  <c:v>4.97401203134393E-5</c:v>
                </c:pt>
                <c:pt idx="88">
                  <c:v>-0.000119950683100417</c:v>
                </c:pt>
                <c:pt idx="89">
                  <c:v>-0.000232999905247583</c:v>
                </c:pt>
                <c:pt idx="90">
                  <c:v>-0.0001602629371544</c:v>
                </c:pt>
                <c:pt idx="91">
                  <c:v>-9.5073395863194E-5</c:v>
                </c:pt>
                <c:pt idx="92">
                  <c:v>-0.000171048044461171</c:v>
                </c:pt>
                <c:pt idx="93">
                  <c:v>-0.000207028720932315</c:v>
                </c:pt>
                <c:pt idx="94">
                  <c:v>-0.000238502466952548</c:v>
                </c:pt>
                <c:pt idx="95">
                  <c:v>-0.000218831951467546</c:v>
                </c:pt>
                <c:pt idx="96">
                  <c:v>-0.00021390873712358</c:v>
                </c:pt>
                <c:pt idx="97">
                  <c:v>-0.000222530034478134</c:v>
                </c:pt>
                <c:pt idx="98">
                  <c:v>-0.000208055126762068</c:v>
                </c:pt>
                <c:pt idx="99">
                  <c:v>-0.000254475655822643</c:v>
                </c:pt>
                <c:pt idx="100">
                  <c:v>-0.000224538802827572</c:v>
                </c:pt>
                <c:pt idx="101">
                  <c:v>-0.000215869616205695</c:v>
                </c:pt>
                <c:pt idx="102">
                  <c:v>-0.000193152481271393</c:v>
                </c:pt>
                <c:pt idx="103">
                  <c:v>-0.000108261191216655</c:v>
                </c:pt>
                <c:pt idx="104">
                  <c:v>-0.000166541911870034</c:v>
                </c:pt>
                <c:pt idx="105">
                  <c:v>-0.000172431808208525</c:v>
                </c:pt>
                <c:pt idx="106">
                  <c:v>-8.95117612506081E-5</c:v>
                </c:pt>
                <c:pt idx="107">
                  <c:v>-0.000102980502599142</c:v>
                </c:pt>
                <c:pt idx="108">
                  <c:v>-7.60730599771754E-5</c:v>
                </c:pt>
                <c:pt idx="109">
                  <c:v>-0.00018447558348926</c:v>
                </c:pt>
                <c:pt idx="110">
                  <c:v>-0.000211357368489415</c:v>
                </c:pt>
                <c:pt idx="111">
                  <c:v>-0.000232233863270814</c:v>
                </c:pt>
                <c:pt idx="112">
                  <c:v>-0.000232160020053669</c:v>
                </c:pt>
                <c:pt idx="113">
                  <c:v>-0.000200502421139594</c:v>
                </c:pt>
                <c:pt idx="114">
                  <c:v>-0.000230336759885083</c:v>
                </c:pt>
                <c:pt idx="115">
                  <c:v>-0.000218410039485417</c:v>
                </c:pt>
                <c:pt idx="116">
                  <c:v>-0.000213870872354208</c:v>
                </c:pt>
                <c:pt idx="117">
                  <c:v>-0.000199091605464483</c:v>
                </c:pt>
                <c:pt idx="118">
                  <c:v>-0.000212253929513323</c:v>
                </c:pt>
                <c:pt idx="119">
                  <c:v>-0.000147433028003126</c:v>
                </c:pt>
                <c:pt idx="120">
                  <c:v>-0.000162115126861317</c:v>
                </c:pt>
                <c:pt idx="121">
                  <c:v>-0.000152982283352258</c:v>
                </c:pt>
                <c:pt idx="122">
                  <c:v>-0.000159678210643048</c:v>
                </c:pt>
                <c:pt idx="123">
                  <c:v>-0.000162636100161619</c:v>
                </c:pt>
                <c:pt idx="124">
                  <c:v>-0.000121939179751288</c:v>
                </c:pt>
                <c:pt idx="125">
                  <c:v>-0.00011638920234059</c:v>
                </c:pt>
                <c:pt idx="126">
                  <c:v>-8.20236106464124E-5</c:v>
                </c:pt>
                <c:pt idx="127">
                  <c:v>-3.77442138738346E-5</c:v>
                </c:pt>
                <c:pt idx="128">
                  <c:v>-1.65905293049717E-5</c:v>
                </c:pt>
                <c:pt idx="129">
                  <c:v>5.95328195554558E-5</c:v>
                </c:pt>
                <c:pt idx="130">
                  <c:v>9.89953917322032E-5</c:v>
                </c:pt>
                <c:pt idx="131">
                  <c:v>0.000109419963703731</c:v>
                </c:pt>
                <c:pt idx="132">
                  <c:v>0.000184470069643127</c:v>
                </c:pt>
                <c:pt idx="133">
                  <c:v>0.000276656520012811</c:v>
                </c:pt>
                <c:pt idx="134">
                  <c:v>0.000518153947090556</c:v>
                </c:pt>
                <c:pt idx="135">
                  <c:v>0.000618134029297744</c:v>
                </c:pt>
                <c:pt idx="136">
                  <c:v>0.000640397234737973</c:v>
                </c:pt>
                <c:pt idx="137">
                  <c:v>0.000689705663780692</c:v>
                </c:pt>
                <c:pt idx="138">
                  <c:v>0.000730085360289567</c:v>
                </c:pt>
                <c:pt idx="139">
                  <c:v>0.000968215675549218</c:v>
                </c:pt>
                <c:pt idx="140">
                  <c:v>0.000987105121902181</c:v>
                </c:pt>
                <c:pt idx="141">
                  <c:v>0.000678312611404576</c:v>
                </c:pt>
                <c:pt idx="142">
                  <c:v>0.000559540608309344</c:v>
                </c:pt>
                <c:pt idx="143">
                  <c:v>0.000317127742657144</c:v>
                </c:pt>
                <c:pt idx="144">
                  <c:v>0.000261306621602779</c:v>
                </c:pt>
                <c:pt idx="145">
                  <c:v>0.000100325211060133</c:v>
                </c:pt>
                <c:pt idx="146">
                  <c:v>-4.68427956086329E-5</c:v>
                </c:pt>
                <c:pt idx="147">
                  <c:v>-9.9416960549159E-5</c:v>
                </c:pt>
                <c:pt idx="148">
                  <c:v>-0.00016422706515553</c:v>
                </c:pt>
                <c:pt idx="149">
                  <c:v>-0.000175847730509569</c:v>
                </c:pt>
                <c:pt idx="150">
                  <c:v>-0.00022833613222838</c:v>
                </c:pt>
                <c:pt idx="151">
                  <c:v>-0.000275632420768095</c:v>
                </c:pt>
                <c:pt idx="152">
                  <c:v>-0.000278306673800292</c:v>
                </c:pt>
                <c:pt idx="153">
                  <c:v>-0.000261843643118671</c:v>
                </c:pt>
                <c:pt idx="154">
                  <c:v>-0.000297002514173528</c:v>
                </c:pt>
                <c:pt idx="155">
                  <c:v>-0.000300044562147945</c:v>
                </c:pt>
                <c:pt idx="156">
                  <c:v>-0.000329824370736354</c:v>
                </c:pt>
                <c:pt idx="157">
                  <c:v>-0.00033096389718049</c:v>
                </c:pt>
                <c:pt idx="158">
                  <c:v>-0.000306913616787224</c:v>
                </c:pt>
                <c:pt idx="159">
                  <c:v>-0.000326105447600793</c:v>
                </c:pt>
                <c:pt idx="160">
                  <c:v>-0.00036387713247403</c:v>
                </c:pt>
                <c:pt idx="161">
                  <c:v>-0.000363686951283901</c:v>
                </c:pt>
                <c:pt idx="162">
                  <c:v>-0.000337336772759929</c:v>
                </c:pt>
                <c:pt idx="163">
                  <c:v>-0.00033365564465836</c:v>
                </c:pt>
                <c:pt idx="164">
                  <c:v>-0.000280571344838106</c:v>
                </c:pt>
                <c:pt idx="165">
                  <c:v>-0.000239549547768142</c:v>
                </c:pt>
                <c:pt idx="166">
                  <c:v>-0.000197796489809148</c:v>
                </c:pt>
                <c:pt idx="167">
                  <c:v>-0.000143096700680727</c:v>
                </c:pt>
                <c:pt idx="168">
                  <c:v>-9.13555781463758E-5</c:v>
                </c:pt>
                <c:pt idx="169">
                  <c:v>-7.13340391238111E-5</c:v>
                </c:pt>
                <c:pt idx="170">
                  <c:v>-4.17487487471661E-5</c:v>
                </c:pt>
                <c:pt idx="171">
                  <c:v>1.05392378678057E-6</c:v>
                </c:pt>
                <c:pt idx="172">
                  <c:v>3.37245619078143E-5</c:v>
                </c:pt>
                <c:pt idx="173">
                  <c:v>0.000134058519605365</c:v>
                </c:pt>
                <c:pt idx="174">
                  <c:v>0.000206900252529216</c:v>
                </c:pt>
                <c:pt idx="175">
                  <c:v>0.000329257373941513</c:v>
                </c:pt>
                <c:pt idx="176">
                  <c:v>0.000317989198571799</c:v>
                </c:pt>
                <c:pt idx="177">
                  <c:v>0.000379874638067181</c:v>
                </c:pt>
                <c:pt idx="178">
                  <c:v>0.000448947481105594</c:v>
                </c:pt>
                <c:pt idx="179">
                  <c:v>0.000575396537551391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883-4A5A-B418-903AC05E69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151952"/>
        <c:axId val="494221568"/>
      </c:scatterChart>
      <c:valAx>
        <c:axId val="494151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to Maturity (years)</a:t>
                </a:r>
              </a:p>
            </c:rich>
          </c:tx>
          <c:layout>
            <c:manualLayout>
              <c:xMode val="edge"/>
              <c:yMode val="edge"/>
              <c:x val="0.420186351706037"/>
              <c:y val="0.9018285214348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221568"/>
        <c:crosses val="autoZero"/>
        <c:crossBetween val="midCat"/>
      </c:valAx>
      <c:valAx>
        <c:axId val="49422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Error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51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4" Type="http://schemas.openxmlformats.org/officeDocument/2006/relationships/chart" Target="../charts/chart8.xml"/><Relationship Id="rId1" Type="http://schemas.openxmlformats.org/officeDocument/2006/relationships/chart" Target="../charts/chart5.xml"/><Relationship Id="rId2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298450</xdr:colOff>
      <xdr:row>5</xdr:row>
      <xdr:rowOff>76200</xdr:rowOff>
    </xdr:from>
    <xdr:to>
      <xdr:col>18</xdr:col>
      <xdr:colOff>488950</xdr:colOff>
      <xdr:row>20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206375</xdr:colOff>
      <xdr:row>41</xdr:row>
      <xdr:rowOff>28575</xdr:rowOff>
    </xdr:from>
    <xdr:to>
      <xdr:col>26</xdr:col>
      <xdr:colOff>412750</xdr:colOff>
      <xdr:row>56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339725</xdr:colOff>
      <xdr:row>41</xdr:row>
      <xdr:rowOff>9525</xdr:rowOff>
    </xdr:from>
    <xdr:to>
      <xdr:col>19</xdr:col>
      <xdr:colOff>860426</xdr:colOff>
      <xdr:row>56</xdr:row>
      <xdr:rowOff>34924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333375</xdr:colOff>
      <xdr:row>22</xdr:row>
      <xdr:rowOff>152400</xdr:rowOff>
    </xdr:from>
    <xdr:to>
      <xdr:col>19</xdr:col>
      <xdr:colOff>781050</xdr:colOff>
      <xdr:row>37</xdr:row>
      <xdr:rowOff>38100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298450</xdr:colOff>
      <xdr:row>5</xdr:row>
      <xdr:rowOff>76200</xdr:rowOff>
    </xdr:from>
    <xdr:to>
      <xdr:col>18</xdr:col>
      <xdr:colOff>488950</xdr:colOff>
      <xdr:row>20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206375</xdr:colOff>
      <xdr:row>41</xdr:row>
      <xdr:rowOff>28575</xdr:rowOff>
    </xdr:from>
    <xdr:to>
      <xdr:col>26</xdr:col>
      <xdr:colOff>412750</xdr:colOff>
      <xdr:row>56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339725</xdr:colOff>
      <xdr:row>41</xdr:row>
      <xdr:rowOff>9525</xdr:rowOff>
    </xdr:from>
    <xdr:to>
      <xdr:col>19</xdr:col>
      <xdr:colOff>860426</xdr:colOff>
      <xdr:row>56</xdr:row>
      <xdr:rowOff>34924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333375</xdr:colOff>
      <xdr:row>22</xdr:row>
      <xdr:rowOff>152400</xdr:rowOff>
    </xdr:from>
    <xdr:to>
      <xdr:col>19</xdr:col>
      <xdr:colOff>781050</xdr:colOff>
      <xdr:row>37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AD182"/>
  <sheetViews>
    <sheetView topLeftCell="K1" workbookViewId="0">
      <selection activeCell="W3" sqref="W3"/>
    </sheetView>
  </sheetViews>
  <sheetFormatPr baseColWidth="10" defaultColWidth="8.83203125" defaultRowHeight="15" x14ac:dyDescent="0.2"/>
  <cols>
    <col min="1" max="5" width="12.5" customWidth="1"/>
    <col min="7" max="7" width="22.6640625" customWidth="1"/>
    <col min="8" max="8" width="16.83203125" customWidth="1"/>
    <col min="9" max="9" width="10.5" customWidth="1"/>
    <col min="10" max="11" width="16.5" style="1" customWidth="1"/>
    <col min="12" max="16" width="14.6640625" customWidth="1"/>
    <col min="17" max="17" width="11" bestFit="1" customWidth="1"/>
    <col min="18" max="18" width="24.1640625" customWidth="1"/>
    <col min="19" max="19" width="12" bestFit="1" customWidth="1"/>
    <col min="20" max="21" width="16.33203125" customWidth="1"/>
    <col min="22" max="22" width="11.1640625" customWidth="1"/>
    <col min="23" max="23" width="11.6640625" bestFit="1" customWidth="1"/>
    <col min="30" max="30" width="11.83203125" customWidth="1"/>
  </cols>
  <sheetData>
    <row r="1" spans="1:30" x14ac:dyDescent="0.2">
      <c r="A1" s="2">
        <v>43045</v>
      </c>
      <c r="B1" s="2"/>
    </row>
    <row r="2" spans="1:30" x14ac:dyDescent="0.2">
      <c r="A2" t="s">
        <v>33</v>
      </c>
      <c r="B2" t="s">
        <v>32</v>
      </c>
      <c r="C2" t="s">
        <v>31</v>
      </c>
      <c r="D2" t="s">
        <v>30</v>
      </c>
      <c r="E2" t="s">
        <v>29</v>
      </c>
      <c r="G2" t="s">
        <v>28</v>
      </c>
      <c r="H2" t="s">
        <v>27</v>
      </c>
      <c r="I2" t="s">
        <v>26</v>
      </c>
      <c r="J2" s="1" t="s">
        <v>25</v>
      </c>
      <c r="K2" s="1" t="s">
        <v>24</v>
      </c>
      <c r="L2" t="s">
        <v>23</v>
      </c>
      <c r="M2" t="s">
        <v>22</v>
      </c>
      <c r="N2" t="s">
        <v>21</v>
      </c>
      <c r="O2" t="s">
        <v>20</v>
      </c>
      <c r="P2" t="s">
        <v>19</v>
      </c>
      <c r="Q2" t="s">
        <v>18</v>
      </c>
      <c r="R2" t="s">
        <v>17</v>
      </c>
      <c r="S2" t="s">
        <v>16</v>
      </c>
      <c r="T2" t="s">
        <v>15</v>
      </c>
      <c r="X2" t="s">
        <v>14</v>
      </c>
      <c r="Y2" t="s">
        <v>13</v>
      </c>
      <c r="AD2" t="s">
        <v>12</v>
      </c>
    </row>
    <row r="3" spans="1:30" x14ac:dyDescent="0.2">
      <c r="A3" s="2">
        <v>43235</v>
      </c>
      <c r="B3" s="3">
        <v>0.52054794520547942</v>
      </c>
      <c r="C3">
        <v>0.01</v>
      </c>
      <c r="D3">
        <v>100.33494347826087</v>
      </c>
      <c r="E3">
        <v>1.2699999999999999E-2</v>
      </c>
      <c r="G3" s="2">
        <f t="shared" ref="G3:G66" si="0">COUPPCD($A$1,A3,2,1)</f>
        <v>42870</v>
      </c>
      <c r="H3" s="2">
        <f t="shared" ref="H3:H66" si="1">COUPNCD($A$1,A3,2,1)</f>
        <v>43054</v>
      </c>
      <c r="I3">
        <f t="shared" ref="I3:I66" si="2">100*C3/2*($A$1-G3)/(H3-G3)</f>
        <v>0.47554347826086957</v>
      </c>
      <c r="J3" s="1">
        <f>IFERROR(getBondPrice($A$1,A3,C3,100,$W$3,$W$4,$W$5,$W$6,$W$7), 100000)</f>
        <v>100.32641771269103</v>
      </c>
      <c r="K3" s="1">
        <f>IFERROR(YIELD($A$1,A3,C3,J3-I3,100,2,1),-2)</f>
        <v>1.2860734612783843E-2</v>
      </c>
      <c r="L3">
        <f t="shared" ref="L3:L66" si="3">J3-D3</f>
        <v>-8.525765569842747E-3</v>
      </c>
      <c r="M3">
        <f t="shared" ref="M3:M66" si="4">ABS(L3)</f>
        <v>8.525765569842747E-3</v>
      </c>
      <c r="N3">
        <f t="shared" ref="N3:N66" si="5">K3-E3</f>
        <v>1.6073461278384368E-4</v>
      </c>
      <c r="O3">
        <f t="shared" ref="O3:O66" si="6">ABS(N3)</f>
        <v>1.6073461278384368E-4</v>
      </c>
      <c r="P3">
        <f>ROWS(L3:L182)</f>
        <v>180</v>
      </c>
      <c r="Q3">
        <f>IFERROR(SUMPRODUCT(L3:L182, L3:L182)/P3, 100000000)</f>
        <v>0.365546955968715</v>
      </c>
      <c r="R3">
        <f>MAX(M3:M182)</f>
        <v>2.3707543176688404</v>
      </c>
      <c r="S3">
        <f>SUMPRODUCT(N3:N182, N3:N182)/P3</f>
        <v>3.6552379727220761E-7</v>
      </c>
      <c r="T3">
        <f>MAX(O3:O182)</f>
        <v>1.1799994754700185E-3</v>
      </c>
      <c r="V3" t="s">
        <v>11</v>
      </c>
      <c r="W3" s="5">
        <v>1.1762637848997105E-2</v>
      </c>
      <c r="X3">
        <v>0</v>
      </c>
      <c r="Y3">
        <v>0.5</v>
      </c>
      <c r="AD3">
        <f>spotRate($A$1,A3,$W$3,$W$4,$W$5,$W$6,$W$7)</f>
        <v>1.2916030536761542E-2</v>
      </c>
    </row>
    <row r="4" spans="1:30" x14ac:dyDescent="0.2">
      <c r="A4" s="2">
        <v>43251</v>
      </c>
      <c r="B4" s="3">
        <v>0.56438356164383563</v>
      </c>
      <c r="C4">
        <v>8.7500000000000008E-3</v>
      </c>
      <c r="D4">
        <v>100.12232295081967</v>
      </c>
      <c r="E4">
        <v>1.3340000000000001E-2</v>
      </c>
      <c r="G4" s="2">
        <f t="shared" si="0"/>
        <v>42886</v>
      </c>
      <c r="H4" s="2">
        <f t="shared" si="1"/>
        <v>43069</v>
      </c>
      <c r="I4">
        <f t="shared" si="2"/>
        <v>0.38012295081967223</v>
      </c>
      <c r="J4" s="1">
        <f>IFERROR(getBondPrice($A$1,A4,C4,100,$W$3,$W$4,$W$5,$W$6,$W$7), 100000)</f>
        <v>100.13994909560161</v>
      </c>
      <c r="K4" s="1">
        <f t="shared" ref="K4:K66" si="7">IFERROR(YIELD($A$1,A4,C4,J4-I4,100,2,1),-2)</f>
        <v>1.3023138636443271E-2</v>
      </c>
      <c r="L4">
        <f t="shared" si="3"/>
        <v>1.7626144781942799E-2</v>
      </c>
      <c r="M4">
        <f t="shared" si="4"/>
        <v>1.7626144781942799E-2</v>
      </c>
      <c r="N4">
        <f t="shared" si="5"/>
        <v>-3.1686136355672974E-4</v>
      </c>
      <c r="O4">
        <f t="shared" si="6"/>
        <v>3.1686136355672974E-4</v>
      </c>
      <c r="Q4">
        <f>SQRT(Q3)</f>
        <v>0.60460479320686422</v>
      </c>
      <c r="S4">
        <f>SQRT(S3)</f>
        <v>6.0458564097421927E-4</v>
      </c>
      <c r="V4" t="s">
        <v>10</v>
      </c>
      <c r="W4" s="6">
        <v>2.3091067409617338E-3</v>
      </c>
      <c r="X4">
        <v>-0.1</v>
      </c>
      <c r="Y4">
        <v>1</v>
      </c>
      <c r="AD4">
        <f t="shared" ref="AD4:AD67" si="8">spotRate($A$1,A4,$W$3,$W$4,$W$5,$W$6,$W$7)</f>
        <v>1.3008823398842555E-2</v>
      </c>
    </row>
    <row r="5" spans="1:30" x14ac:dyDescent="0.2">
      <c r="A5" s="2">
        <v>43266</v>
      </c>
      <c r="B5" s="3">
        <v>0.60547945205479448</v>
      </c>
      <c r="C5">
        <v>1.125E-2</v>
      </c>
      <c r="D5">
        <v>100.30202295081966</v>
      </c>
      <c r="E5">
        <v>1.3580000000000002E-2</v>
      </c>
      <c r="G5" s="2">
        <f t="shared" si="0"/>
        <v>42901</v>
      </c>
      <c r="H5" s="2">
        <f t="shared" si="1"/>
        <v>43084</v>
      </c>
      <c r="I5">
        <f t="shared" si="2"/>
        <v>0.44262295081967212</v>
      </c>
      <c r="J5" s="1">
        <f>IFERROR(getBondPrice($A$1,A5,C5,100,$W$3,$W$4,$W$5,$W$6,$W$7), 100000)</f>
        <v>100.33008280054821</v>
      </c>
      <c r="K5" s="1">
        <f t="shared" si="7"/>
        <v>1.3113734710962744E-2</v>
      </c>
      <c r="L5">
        <f t="shared" si="3"/>
        <v>2.805984972854958E-2</v>
      </c>
      <c r="M5">
        <f t="shared" si="4"/>
        <v>2.805984972854958E-2</v>
      </c>
      <c r="N5">
        <f t="shared" si="5"/>
        <v>-4.662652890372581E-4</v>
      </c>
      <c r="O5">
        <f t="shared" si="6"/>
        <v>4.662652890372581E-4</v>
      </c>
      <c r="V5" t="s">
        <v>9</v>
      </c>
      <c r="W5" s="6">
        <v>-1.832609731143219E-4</v>
      </c>
      <c r="X5">
        <v>-0.1</v>
      </c>
      <c r="Y5">
        <v>0.1</v>
      </c>
      <c r="AD5">
        <f t="shared" si="8"/>
        <v>1.3095220588357954E-2</v>
      </c>
    </row>
    <row r="6" spans="1:30" x14ac:dyDescent="0.2">
      <c r="A6" s="2">
        <v>43281</v>
      </c>
      <c r="B6" s="3">
        <v>0.64657534246575343</v>
      </c>
      <c r="C6">
        <v>6.2500000000000003E-3</v>
      </c>
      <c r="D6">
        <v>99.742489673913042</v>
      </c>
      <c r="E6">
        <v>1.3640000000000001E-2</v>
      </c>
      <c r="G6" s="2">
        <f t="shared" si="0"/>
        <v>42916</v>
      </c>
      <c r="H6" s="2">
        <f t="shared" si="1"/>
        <v>43100</v>
      </c>
      <c r="I6">
        <f t="shared" si="2"/>
        <v>0.21908967391304349</v>
      </c>
      <c r="J6" s="1">
        <f>IFERROR(getBondPrice($A$1,A6,C6,100,$W$3,$W$4,$W$5,$W$6,$W$7), 100000)</f>
        <v>99.773146047905172</v>
      </c>
      <c r="K6" s="1">
        <f t="shared" si="7"/>
        <v>1.3165048397753941E-2</v>
      </c>
      <c r="L6">
        <f t="shared" si="3"/>
        <v>3.065637399213017E-2</v>
      </c>
      <c r="M6">
        <f t="shared" si="4"/>
        <v>3.065637399213017E-2</v>
      </c>
      <c r="N6">
        <f t="shared" si="5"/>
        <v>-4.7495160224605981E-4</v>
      </c>
      <c r="O6">
        <f t="shared" si="6"/>
        <v>4.7495160224605981E-4</v>
      </c>
      <c r="V6" t="s">
        <v>8</v>
      </c>
      <c r="W6" s="6">
        <v>7.5039329067984116E-6</v>
      </c>
      <c r="X6">
        <v>-0.1</v>
      </c>
      <c r="Y6">
        <v>0.1</v>
      </c>
      <c r="AD6">
        <f t="shared" si="8"/>
        <v>1.3181043971006105E-2</v>
      </c>
    </row>
    <row r="7" spans="1:30" x14ac:dyDescent="0.2">
      <c r="A7" s="2">
        <v>43296</v>
      </c>
      <c r="B7" s="3">
        <v>0.68767123287671228</v>
      </c>
      <c r="C7">
        <v>8.7500000000000008E-3</v>
      </c>
      <c r="D7">
        <v>99.911659782608709</v>
      </c>
      <c r="E7">
        <v>1.3999999999999999E-2</v>
      </c>
      <c r="G7" s="2">
        <f t="shared" si="0"/>
        <v>42931</v>
      </c>
      <c r="H7" s="2">
        <f t="shared" si="1"/>
        <v>43115</v>
      </c>
      <c r="I7">
        <f t="shared" si="2"/>
        <v>0.27105978260869568</v>
      </c>
      <c r="J7" s="1">
        <f>IFERROR(getBondPrice($A$1,A7,C7,100,$W$3,$W$4,$W$5,$W$6,$W$7), 100000)</f>
        <v>99.961868214741301</v>
      </c>
      <c r="K7" s="1">
        <f t="shared" si="7"/>
        <v>1.3260013427371188E-2</v>
      </c>
      <c r="L7">
        <f t="shared" si="3"/>
        <v>5.0208432132592407E-2</v>
      </c>
      <c r="M7">
        <f t="shared" si="4"/>
        <v>5.0208432132592407E-2</v>
      </c>
      <c r="N7">
        <f t="shared" si="5"/>
        <v>-7.3998657262881046E-4</v>
      </c>
      <c r="O7">
        <f t="shared" si="6"/>
        <v>7.3998657262881046E-4</v>
      </c>
      <c r="V7" t="s">
        <v>39</v>
      </c>
      <c r="W7" s="6">
        <v>-1.127365322128826E-7</v>
      </c>
      <c r="X7">
        <v>-0.1</v>
      </c>
      <c r="Y7">
        <v>0.1</v>
      </c>
      <c r="AD7">
        <f t="shared" si="8"/>
        <v>1.3266296554120316E-2</v>
      </c>
    </row>
    <row r="8" spans="1:30" x14ac:dyDescent="0.2">
      <c r="A8" s="2">
        <v>43312</v>
      </c>
      <c r="B8" s="3">
        <v>0.73150684931506849</v>
      </c>
      <c r="C8">
        <v>7.4999999999999997E-3</v>
      </c>
      <c r="D8">
        <v>99.715328260869569</v>
      </c>
      <c r="E8">
        <v>1.4159999999999999E-2</v>
      </c>
      <c r="G8" s="2">
        <f t="shared" si="0"/>
        <v>42947</v>
      </c>
      <c r="H8" s="2">
        <f t="shared" si="1"/>
        <v>43131</v>
      </c>
      <c r="I8">
        <f t="shared" si="2"/>
        <v>0.19972826086956522</v>
      </c>
      <c r="J8" s="1">
        <f>IFERROR(getBondPrice($A$1,A8,C8,100,$W$3,$W$4,$W$5,$W$6,$W$7), 100000)</f>
        <v>99.772981647834158</v>
      </c>
      <c r="K8" s="1">
        <f t="shared" si="7"/>
        <v>1.3360086143815536E-2</v>
      </c>
      <c r="L8">
        <f t="shared" si="3"/>
        <v>5.7653386964588549E-2</v>
      </c>
      <c r="M8">
        <f t="shared" si="4"/>
        <v>5.7653386964588549E-2</v>
      </c>
      <c r="N8">
        <f t="shared" si="5"/>
        <v>-7.9991385618446292E-4</v>
      </c>
      <c r="O8">
        <f t="shared" si="6"/>
        <v>7.9991385618446292E-4</v>
      </c>
      <c r="AD8">
        <f t="shared" si="8"/>
        <v>1.3356606874415221E-2</v>
      </c>
    </row>
    <row r="9" spans="1:30" x14ac:dyDescent="0.2">
      <c r="A9" s="2">
        <v>43327</v>
      </c>
      <c r="B9" s="3">
        <v>0.77260273972602744</v>
      </c>
      <c r="C9">
        <v>0.01</v>
      </c>
      <c r="D9">
        <v>99.897443478260868</v>
      </c>
      <c r="E9">
        <v>1.427E-2</v>
      </c>
      <c r="G9" s="2">
        <f t="shared" si="0"/>
        <v>42962</v>
      </c>
      <c r="H9" s="2">
        <f t="shared" si="1"/>
        <v>43146</v>
      </c>
      <c r="I9">
        <f t="shared" si="2"/>
        <v>0.22554347826086957</v>
      </c>
      <c r="J9" s="1">
        <f>IFERROR(getBondPrice($A$1,A9,C9,100,$W$3,$W$4,$W$5,$W$6,$W$7), 100000)</f>
        <v>99.960065470846757</v>
      </c>
      <c r="K9" s="1">
        <f t="shared" si="7"/>
        <v>1.3451925189576004E-2</v>
      </c>
      <c r="L9">
        <f t="shared" si="3"/>
        <v>6.2621992585889075E-2</v>
      </c>
      <c r="M9">
        <f t="shared" si="4"/>
        <v>6.2621992585889075E-2</v>
      </c>
      <c r="N9">
        <f t="shared" si="5"/>
        <v>-8.180748104239955E-4</v>
      </c>
      <c r="O9">
        <f t="shared" si="6"/>
        <v>8.180748104239955E-4</v>
      </c>
      <c r="AD9">
        <f t="shared" si="8"/>
        <v>1.3440689301913599E-2</v>
      </c>
    </row>
    <row r="10" spans="1:30" x14ac:dyDescent="0.2">
      <c r="A10" s="2">
        <v>43343</v>
      </c>
      <c r="B10" s="3">
        <v>0.81643835616438354</v>
      </c>
      <c r="C10">
        <v>7.4999999999999997E-3</v>
      </c>
      <c r="D10">
        <v>99.576312154696126</v>
      </c>
      <c r="E10">
        <v>1.4459999999999999E-2</v>
      </c>
      <c r="G10" s="2">
        <f t="shared" si="0"/>
        <v>42978</v>
      </c>
      <c r="H10" s="2">
        <f t="shared" si="1"/>
        <v>43159</v>
      </c>
      <c r="I10">
        <f t="shared" si="2"/>
        <v>0.13881215469613259</v>
      </c>
      <c r="J10" s="1">
        <f>IFERROR(getBondPrice($A$1,A10,C10,100,$W$3,$W$4,$W$5,$W$6,$W$7), 100000)</f>
        <v>99.645880402242412</v>
      </c>
      <c r="K10" s="1">
        <f t="shared" si="7"/>
        <v>1.3599311990993956E-2</v>
      </c>
      <c r="L10">
        <f t="shared" si="3"/>
        <v>6.9568247546285988E-2</v>
      </c>
      <c r="M10">
        <f t="shared" si="4"/>
        <v>6.9568247546285988E-2</v>
      </c>
      <c r="N10">
        <f t="shared" si="5"/>
        <v>-8.6068800900604252E-4</v>
      </c>
      <c r="O10">
        <f t="shared" si="6"/>
        <v>8.6068800900604252E-4</v>
      </c>
      <c r="AD10">
        <f t="shared" si="8"/>
        <v>1.3529758261775134E-2</v>
      </c>
    </row>
    <row r="11" spans="1:30" x14ac:dyDescent="0.2">
      <c r="A11" s="2">
        <v>43358</v>
      </c>
      <c r="B11" s="3">
        <v>0.8575342465753425</v>
      </c>
      <c r="C11">
        <v>0.01</v>
      </c>
      <c r="D11">
        <v>99.74524640883979</v>
      </c>
      <c r="E11">
        <v>1.47E-2</v>
      </c>
      <c r="G11" s="2">
        <f t="shared" si="0"/>
        <v>42993</v>
      </c>
      <c r="H11" s="2">
        <f t="shared" si="1"/>
        <v>43174</v>
      </c>
      <c r="I11">
        <f t="shared" si="2"/>
        <v>0.143646408839779</v>
      </c>
      <c r="J11" s="1">
        <f>IFERROR(getBondPrice($A$1,A11,C11,100,$W$3,$W$4,$W$5,$W$6,$W$7), 100000)</f>
        <v>99.83143605077484</v>
      </c>
      <c r="K11" s="1">
        <f t="shared" si="7"/>
        <v>1.3675542272113582E-2</v>
      </c>
      <c r="L11">
        <f t="shared" si="3"/>
        <v>8.6189641935050076E-2</v>
      </c>
      <c r="M11">
        <f t="shared" si="4"/>
        <v>8.6189641935050076E-2</v>
      </c>
      <c r="N11">
        <f t="shared" si="5"/>
        <v>-1.0244577278864173E-3</v>
      </c>
      <c r="O11">
        <f t="shared" si="6"/>
        <v>1.0244577278864173E-3</v>
      </c>
      <c r="AD11">
        <f t="shared" si="8"/>
        <v>1.3612683277229651E-2</v>
      </c>
    </row>
    <row r="12" spans="1:30" x14ac:dyDescent="0.2">
      <c r="A12" s="2">
        <v>43373</v>
      </c>
      <c r="B12" s="3">
        <v>0.89863013698630134</v>
      </c>
      <c r="C12">
        <v>7.4999999999999997E-3</v>
      </c>
      <c r="D12">
        <v>99.427836263736268</v>
      </c>
      <c r="E12">
        <v>1.4790000000000001E-2</v>
      </c>
      <c r="G12" s="2">
        <f t="shared" si="0"/>
        <v>43008</v>
      </c>
      <c r="H12" s="2">
        <f t="shared" si="1"/>
        <v>43190</v>
      </c>
      <c r="I12">
        <f t="shared" si="2"/>
        <v>7.6236263736263743E-2</v>
      </c>
      <c r="J12" s="1">
        <f>IFERROR(getBondPrice($A$1,A12,C12,100,$W$3,$W$4,$W$5,$W$6,$W$7), 100000)</f>
        <v>99.520396400105597</v>
      </c>
      <c r="K12" s="1">
        <f t="shared" si="7"/>
        <v>1.3744507936520678E-2</v>
      </c>
      <c r="L12">
        <f t="shared" si="3"/>
        <v>9.2560136369328916E-2</v>
      </c>
      <c r="M12">
        <f t="shared" si="4"/>
        <v>9.2560136369328916E-2</v>
      </c>
      <c r="N12">
        <f t="shared" si="5"/>
        <v>-1.0454920634793228E-3</v>
      </c>
      <c r="O12">
        <f t="shared" si="6"/>
        <v>1.0454920634793228E-3</v>
      </c>
      <c r="AD12">
        <f t="shared" si="8"/>
        <v>1.3695052809305931E-2</v>
      </c>
    </row>
    <row r="13" spans="1:30" x14ac:dyDescent="0.2">
      <c r="A13" s="2">
        <v>43388</v>
      </c>
      <c r="B13" s="3">
        <v>0.9397260273972603</v>
      </c>
      <c r="C13">
        <v>8.7500000000000008E-3</v>
      </c>
      <c r="D13">
        <v>99.48258461538461</v>
      </c>
      <c r="E13">
        <v>1.4879999999999999E-2</v>
      </c>
      <c r="G13" s="2">
        <f t="shared" si="0"/>
        <v>43023</v>
      </c>
      <c r="H13" s="2">
        <f t="shared" si="1"/>
        <v>43205</v>
      </c>
      <c r="I13">
        <f t="shared" si="2"/>
        <v>5.2884615384615391E-2</v>
      </c>
      <c r="J13" s="1">
        <f>IFERROR(getBondPrice($A$1,A13,C13,100,$W$3,$W$4,$W$5,$W$6,$W$7), 100000)</f>
        <v>99.580632100338704</v>
      </c>
      <c r="K13" s="1">
        <f t="shared" si="7"/>
        <v>1.3824659420343112E-2</v>
      </c>
      <c r="L13">
        <f t="shared" si="3"/>
        <v>9.8047484954093989E-2</v>
      </c>
      <c r="M13">
        <f t="shared" si="4"/>
        <v>9.8047484954093989E-2</v>
      </c>
      <c r="N13">
        <f t="shared" si="5"/>
        <v>-1.0553405796568868E-3</v>
      </c>
      <c r="O13">
        <f t="shared" si="6"/>
        <v>1.0553405796568868E-3</v>
      </c>
      <c r="AD13">
        <f t="shared" si="8"/>
        <v>1.3776869818004056E-2</v>
      </c>
    </row>
    <row r="14" spans="1:30" x14ac:dyDescent="0.2">
      <c r="A14" s="2">
        <v>43404</v>
      </c>
      <c r="B14" s="3">
        <v>0.98356164383561639</v>
      </c>
      <c r="C14">
        <v>7.4999999999999997E-3</v>
      </c>
      <c r="D14">
        <v>99.285830939226514</v>
      </c>
      <c r="E14">
        <v>1.4970000000000001E-2</v>
      </c>
      <c r="G14" s="2">
        <f t="shared" si="0"/>
        <v>43039</v>
      </c>
      <c r="H14" s="2">
        <f t="shared" si="1"/>
        <v>43220</v>
      </c>
      <c r="I14">
        <f t="shared" si="2"/>
        <v>1.2430939226519336E-2</v>
      </c>
      <c r="J14" s="1">
        <f>IFERROR(getBondPrice($A$1,A14,C14,100,$W$3,$W$4,$W$5,$W$6,$W$7), 100000)</f>
        <v>99.388312171506243</v>
      </c>
      <c r="K14" s="1">
        <f t="shared" si="7"/>
        <v>1.3911505961553224E-2</v>
      </c>
      <c r="L14">
        <f t="shared" si="3"/>
        <v>0.10248123227972883</v>
      </c>
      <c r="M14">
        <f t="shared" si="4"/>
        <v>0.10248123227972883</v>
      </c>
      <c r="N14">
        <f t="shared" si="5"/>
        <v>-1.0584940384467771E-3</v>
      </c>
      <c r="O14">
        <f t="shared" si="6"/>
        <v>1.0584940384467771E-3</v>
      </c>
      <c r="AD14">
        <f t="shared" si="8"/>
        <v>1.3863535616642416E-2</v>
      </c>
    </row>
    <row r="15" spans="1:30" x14ac:dyDescent="0.2">
      <c r="A15" s="2">
        <v>43419</v>
      </c>
      <c r="B15" s="3">
        <v>1.0246575342465754</v>
      </c>
      <c r="C15">
        <v>1.2500000000000001E-2</v>
      </c>
      <c r="D15">
        <v>100.33662934782609</v>
      </c>
      <c r="E15">
        <v>1.504E-2</v>
      </c>
      <c r="G15" s="2">
        <f t="shared" si="0"/>
        <v>42870</v>
      </c>
      <c r="H15" s="2">
        <f t="shared" si="1"/>
        <v>43054</v>
      </c>
      <c r="I15">
        <f t="shared" si="2"/>
        <v>0.59442934782608692</v>
      </c>
      <c r="J15" s="1">
        <f>IFERROR(getBondPrice($A$1,A15,C15,100,$W$3,$W$4,$W$5,$W$6,$W$7), 100000)</f>
        <v>100.44311726088992</v>
      </c>
      <c r="K15" s="1">
        <f t="shared" si="7"/>
        <v>1.3991768978071056E-2</v>
      </c>
      <c r="L15">
        <f t="shared" si="3"/>
        <v>0.10648791306383032</v>
      </c>
      <c r="M15">
        <f t="shared" si="4"/>
        <v>0.10648791306383032</v>
      </c>
      <c r="N15">
        <f t="shared" si="5"/>
        <v>-1.0482310219289432E-3</v>
      </c>
      <c r="O15">
        <f t="shared" si="6"/>
        <v>1.0482310219289432E-3</v>
      </c>
      <c r="AD15">
        <f t="shared" si="8"/>
        <v>1.3944220090452949E-2</v>
      </c>
    </row>
    <row r="16" spans="1:30" x14ac:dyDescent="0.2">
      <c r="A16" s="2">
        <v>43434</v>
      </c>
      <c r="B16" s="3">
        <v>1.0657534246575342</v>
      </c>
      <c r="C16">
        <v>0.01</v>
      </c>
      <c r="D16">
        <v>99.903226229508192</v>
      </c>
      <c r="E16">
        <v>1.504E-2</v>
      </c>
      <c r="G16" s="2">
        <f t="shared" si="0"/>
        <v>42886</v>
      </c>
      <c r="H16" s="2">
        <f t="shared" si="1"/>
        <v>43069</v>
      </c>
      <c r="I16">
        <f t="shared" si="2"/>
        <v>0.4344262295081967</v>
      </c>
      <c r="J16" s="1">
        <f>IFERROR(getBondPrice($A$1,A16,C16,100,$W$3,$W$4,$W$5,$W$6,$W$7), 100000)</f>
        <v>100.00499663017291</v>
      </c>
      <c r="K16" s="1">
        <f t="shared" si="7"/>
        <v>1.4072587678746909E-2</v>
      </c>
      <c r="L16">
        <f t="shared" si="3"/>
        <v>0.10177040066471932</v>
      </c>
      <c r="M16">
        <f t="shared" si="4"/>
        <v>0.10177040066471932</v>
      </c>
      <c r="N16">
        <f t="shared" si="5"/>
        <v>-9.6741232125309093E-4</v>
      </c>
      <c r="O16">
        <f t="shared" si="6"/>
        <v>9.6741232125309093E-4</v>
      </c>
      <c r="AD16">
        <f t="shared" si="8"/>
        <v>1.4024361070096811E-2</v>
      </c>
    </row>
    <row r="17" spans="1:30" x14ac:dyDescent="0.2">
      <c r="A17" s="2">
        <v>43449</v>
      </c>
      <c r="B17" s="3">
        <v>1.106849315068493</v>
      </c>
      <c r="C17">
        <v>1.2500000000000001E-2</v>
      </c>
      <c r="D17">
        <v>100.19490327868853</v>
      </c>
      <c r="E17">
        <v>1.521E-2</v>
      </c>
      <c r="G17" s="2">
        <f t="shared" si="0"/>
        <v>42901</v>
      </c>
      <c r="H17" s="2">
        <f t="shared" si="1"/>
        <v>43084</v>
      </c>
      <c r="I17">
        <f t="shared" si="2"/>
        <v>0.49180327868852458</v>
      </c>
      <c r="J17" s="1">
        <f>IFERROR(getBondPrice($A$1,A17,C17,100,$W$3,$W$4,$W$5,$W$6,$W$7), 100000)</f>
        <v>100.31060754251365</v>
      </c>
      <c r="K17" s="1">
        <f t="shared" si="7"/>
        <v>1.4152735089671289E-2</v>
      </c>
      <c r="L17">
        <f t="shared" si="3"/>
        <v>0.11570426382512267</v>
      </c>
      <c r="M17">
        <f t="shared" si="4"/>
        <v>0.11570426382512267</v>
      </c>
      <c r="N17">
        <f t="shared" si="5"/>
        <v>-1.0572649103287104E-3</v>
      </c>
      <c r="O17">
        <f t="shared" si="6"/>
        <v>1.0572649103287104E-3</v>
      </c>
      <c r="AD17">
        <f t="shared" si="8"/>
        <v>1.4103961484190106E-2</v>
      </c>
    </row>
    <row r="18" spans="1:30" x14ac:dyDescent="0.2">
      <c r="A18" s="2">
        <v>43465</v>
      </c>
      <c r="B18" s="3">
        <v>1.1506849315068493</v>
      </c>
      <c r="C18">
        <v>1.2500000000000001E-2</v>
      </c>
      <c r="D18">
        <v>100.1412793478261</v>
      </c>
      <c r="E18">
        <v>1.5109999999999998E-2</v>
      </c>
      <c r="G18" s="2">
        <f t="shared" si="0"/>
        <v>42916</v>
      </c>
      <c r="H18" s="2">
        <f t="shared" si="1"/>
        <v>43100</v>
      </c>
      <c r="I18">
        <f t="shared" si="2"/>
        <v>0.43817934782608697</v>
      </c>
      <c r="J18" s="1">
        <f>IFERROR(getBondPrice($A$1,A18,C18,100,$W$3,$W$4,$W$5,$W$6,$W$7), 100000)</f>
        <v>100.23906738995461</v>
      </c>
      <c r="K18" s="1">
        <f t="shared" si="7"/>
        <v>1.4248519804747554E-2</v>
      </c>
      <c r="L18">
        <f t="shared" si="3"/>
        <v>9.7788042128513553E-2</v>
      </c>
      <c r="M18">
        <f t="shared" si="4"/>
        <v>9.7788042128513553E-2</v>
      </c>
      <c r="N18">
        <f t="shared" si="5"/>
        <v>-8.6148019525244396E-4</v>
      </c>
      <c r="O18">
        <f t="shared" si="6"/>
        <v>8.6148019525244396E-4</v>
      </c>
      <c r="AD18">
        <f t="shared" si="8"/>
        <v>1.4188276060072438E-2</v>
      </c>
    </row>
    <row r="19" spans="1:30" x14ac:dyDescent="0.2">
      <c r="A19" s="2">
        <v>43480</v>
      </c>
      <c r="B19" s="3">
        <v>1.1917808219178083</v>
      </c>
      <c r="C19">
        <v>1.125E-2</v>
      </c>
      <c r="D19">
        <v>99.895405434782603</v>
      </c>
      <c r="E19">
        <v>1.5100000000000001E-2</v>
      </c>
      <c r="G19" s="2">
        <f t="shared" si="0"/>
        <v>42931</v>
      </c>
      <c r="H19" s="2">
        <f t="shared" si="1"/>
        <v>43115</v>
      </c>
      <c r="I19">
        <f t="shared" si="2"/>
        <v>0.3485054347826087</v>
      </c>
      <c r="J19" s="1">
        <f>IFERROR(getBondPrice($A$1,A19,C19,100,$W$3,$W$4,$W$5,$W$6,$W$7), 100000)</f>
        <v>99.98568121739315</v>
      </c>
      <c r="K19" s="1">
        <f t="shared" si="7"/>
        <v>1.4331341189383253E-2</v>
      </c>
      <c r="L19">
        <f t="shared" si="3"/>
        <v>9.0275782610547139E-2</v>
      </c>
      <c r="M19">
        <f t="shared" si="4"/>
        <v>9.0275782610547139E-2</v>
      </c>
      <c r="N19">
        <f t="shared" si="5"/>
        <v>-7.6865881061674753E-4</v>
      </c>
      <c r="O19">
        <f t="shared" si="6"/>
        <v>7.6865881061674753E-4</v>
      </c>
      <c r="AD19">
        <f t="shared" si="8"/>
        <v>1.4266768552669461E-2</v>
      </c>
    </row>
    <row r="20" spans="1:30" x14ac:dyDescent="0.2">
      <c r="A20" s="2">
        <v>43496</v>
      </c>
      <c r="B20" s="3">
        <v>1.2356164383561643</v>
      </c>
      <c r="C20">
        <v>1.125E-2</v>
      </c>
      <c r="D20">
        <v>99.81519239130435</v>
      </c>
      <c r="E20">
        <v>1.5220000000000001E-2</v>
      </c>
      <c r="G20" s="2">
        <f t="shared" si="0"/>
        <v>42947</v>
      </c>
      <c r="H20" s="2">
        <f t="shared" si="1"/>
        <v>43131</v>
      </c>
      <c r="I20">
        <f t="shared" si="2"/>
        <v>0.29959239130434784</v>
      </c>
      <c r="J20" s="1">
        <f>IFERROR(getBondPrice($A$1,A20,C20,100,$W$3,$W$4,$W$5,$W$6,$W$7), 100000)</f>
        <v>99.913046414196884</v>
      </c>
      <c r="K20" s="1">
        <f t="shared" si="7"/>
        <v>1.4418337720445836E-2</v>
      </c>
      <c r="L20">
        <f t="shared" si="3"/>
        <v>9.7854022892533976E-2</v>
      </c>
      <c r="M20">
        <f t="shared" si="4"/>
        <v>9.7854022892533976E-2</v>
      </c>
      <c r="N20">
        <f t="shared" si="5"/>
        <v>-8.016622795541644E-4</v>
      </c>
      <c r="O20">
        <f t="shared" si="6"/>
        <v>8.016622795541644E-4</v>
      </c>
      <c r="AD20">
        <f t="shared" si="8"/>
        <v>1.4349907971867326E-2</v>
      </c>
    </row>
    <row r="21" spans="1:30" x14ac:dyDescent="0.2">
      <c r="A21" s="2">
        <v>43511</v>
      </c>
      <c r="B21" s="3">
        <v>1.2767123287671234</v>
      </c>
      <c r="C21">
        <v>7.4999999999999997E-3</v>
      </c>
      <c r="D21">
        <v>99.184757608695662</v>
      </c>
      <c r="E21">
        <v>1.533E-2</v>
      </c>
      <c r="G21" s="2">
        <f t="shared" si="0"/>
        <v>42962</v>
      </c>
      <c r="H21" s="2">
        <f t="shared" si="1"/>
        <v>43146</v>
      </c>
      <c r="I21">
        <f t="shared" si="2"/>
        <v>0.16915760869565216</v>
      </c>
      <c r="J21" s="1">
        <f>IFERROR(getBondPrice($A$1,A21,C21,100,$W$3,$W$4,$W$5,$W$6,$W$7), 100000)</f>
        <v>99.287907144832019</v>
      </c>
      <c r="K21" s="1">
        <f t="shared" si="7"/>
        <v>1.4501180017729537E-2</v>
      </c>
      <c r="L21">
        <f t="shared" si="3"/>
        <v>0.1031495361363568</v>
      </c>
      <c r="M21">
        <f t="shared" si="4"/>
        <v>0.1031495361363568</v>
      </c>
      <c r="N21">
        <f t="shared" si="5"/>
        <v>-8.2881998227046262E-4</v>
      </c>
      <c r="O21">
        <f t="shared" si="6"/>
        <v>8.2881998227046262E-4</v>
      </c>
      <c r="AD21">
        <f t="shared" si="8"/>
        <v>1.4427304950330126E-2</v>
      </c>
    </row>
    <row r="22" spans="1:30" x14ac:dyDescent="0.2">
      <c r="A22" s="2">
        <v>43524</v>
      </c>
      <c r="B22" s="3">
        <v>1.3123287671232877</v>
      </c>
      <c r="C22">
        <v>1.125E-2</v>
      </c>
      <c r="D22">
        <v>99.684818232044208</v>
      </c>
      <c r="E22">
        <v>1.528E-2</v>
      </c>
      <c r="G22" s="2">
        <f t="shared" si="0"/>
        <v>42978</v>
      </c>
      <c r="H22" s="2">
        <f t="shared" si="1"/>
        <v>43159</v>
      </c>
      <c r="I22">
        <f t="shared" si="2"/>
        <v>0.2082182320441989</v>
      </c>
      <c r="J22" s="1">
        <f>IFERROR(getBondPrice($A$1,A22,C22,100,$W$3,$W$4,$W$5,$W$6,$W$7), 100000)</f>
        <v>99.784428509880158</v>
      </c>
      <c r="K22" s="1">
        <f t="shared" si="7"/>
        <v>1.451181266960809E-2</v>
      </c>
      <c r="L22">
        <f t="shared" si="3"/>
        <v>9.9610277835950001E-2</v>
      </c>
      <c r="M22">
        <f t="shared" si="4"/>
        <v>9.9610277835950001E-2</v>
      </c>
      <c r="N22">
        <f t="shared" si="5"/>
        <v>-7.6818733039191005E-4</v>
      </c>
      <c r="O22">
        <f t="shared" si="6"/>
        <v>7.6818733039191005E-4</v>
      </c>
      <c r="AD22">
        <f t="shared" si="8"/>
        <v>1.4493957032745483E-2</v>
      </c>
    </row>
    <row r="23" spans="1:30" x14ac:dyDescent="0.2">
      <c r="A23" s="2">
        <v>43539</v>
      </c>
      <c r="B23" s="3">
        <v>1.3534246575342466</v>
      </c>
      <c r="C23">
        <v>0.01</v>
      </c>
      <c r="D23">
        <v>99.424946408839787</v>
      </c>
      <c r="E23">
        <v>1.537E-2</v>
      </c>
      <c r="G23" s="2">
        <f t="shared" si="0"/>
        <v>42993</v>
      </c>
      <c r="H23" s="2">
        <f t="shared" si="1"/>
        <v>43174</v>
      </c>
      <c r="I23">
        <f t="shared" si="2"/>
        <v>0.143646408839779</v>
      </c>
      <c r="J23" s="1">
        <f>IFERROR(getBondPrice($A$1,A23,C23,100,$W$3,$W$4,$W$5,$W$6,$W$7), 100000)</f>
        <v>99.529546034056949</v>
      </c>
      <c r="K23" s="1">
        <f t="shared" si="7"/>
        <v>1.4586229282139049E-2</v>
      </c>
      <c r="L23">
        <f t="shared" si="3"/>
        <v>0.10459962521716193</v>
      </c>
      <c r="M23">
        <f t="shared" si="4"/>
        <v>0.10459962521716193</v>
      </c>
      <c r="N23">
        <f t="shared" si="5"/>
        <v>-7.8377071786095084E-4</v>
      </c>
      <c r="O23">
        <f t="shared" si="6"/>
        <v>7.8377071786095084E-4</v>
      </c>
      <c r="AD23">
        <f t="shared" si="8"/>
        <v>1.4570375122300602E-2</v>
      </c>
    </row>
    <row r="24" spans="1:30" x14ac:dyDescent="0.2">
      <c r="A24" s="2">
        <v>43555</v>
      </c>
      <c r="B24" s="3">
        <v>1.3972602739726028</v>
      </c>
      <c r="C24">
        <v>1.2500000000000001E-2</v>
      </c>
      <c r="D24">
        <v>99.72086043956044</v>
      </c>
      <c r="E24">
        <v>1.5449999999999998E-2</v>
      </c>
      <c r="G24" s="2">
        <f t="shared" si="0"/>
        <v>43008</v>
      </c>
      <c r="H24" s="2">
        <f t="shared" si="1"/>
        <v>43190</v>
      </c>
      <c r="I24">
        <f t="shared" si="2"/>
        <v>0.12706043956043955</v>
      </c>
      <c r="J24" s="1">
        <f>IFERROR(getBondPrice($A$1,A24,C24,100,$W$3,$W$4,$W$5,$W$6,$W$7), 100000)</f>
        <v>99.825199638408762</v>
      </c>
      <c r="K24" s="1">
        <f t="shared" si="7"/>
        <v>1.4686164481706612E-2</v>
      </c>
      <c r="L24">
        <f t="shared" si="3"/>
        <v>0.10433919884832221</v>
      </c>
      <c r="M24">
        <f t="shared" si="4"/>
        <v>0.10433919884832221</v>
      </c>
      <c r="N24">
        <f t="shared" si="5"/>
        <v>-7.6383551829338654E-4</v>
      </c>
      <c r="O24">
        <f t="shared" si="6"/>
        <v>7.6383551829338654E-4</v>
      </c>
      <c r="AD24">
        <f t="shared" si="8"/>
        <v>1.4651314355786838E-2</v>
      </c>
    </row>
    <row r="25" spans="1:30" x14ac:dyDescent="0.2">
      <c r="A25" s="2">
        <v>43570</v>
      </c>
      <c r="B25" s="3">
        <v>1.4383561643835616</v>
      </c>
      <c r="C25">
        <v>8.7500000000000008E-3</v>
      </c>
      <c r="D25">
        <v>99.091984615384618</v>
      </c>
      <c r="E25">
        <v>1.5529999999999999E-2</v>
      </c>
      <c r="G25" s="2">
        <f t="shared" si="0"/>
        <v>43023</v>
      </c>
      <c r="H25" s="2">
        <f t="shared" si="1"/>
        <v>43205</v>
      </c>
      <c r="I25">
        <f t="shared" si="2"/>
        <v>5.2884615384615391E-2</v>
      </c>
      <c r="J25" s="1">
        <f>IFERROR(getBondPrice($A$1,A25,C25,100,$W$3,$W$4,$W$5,$W$6,$W$7), 100000)</f>
        <v>99.199324554415668</v>
      </c>
      <c r="K25" s="1">
        <f t="shared" si="7"/>
        <v>1.4763192563900166E-2</v>
      </c>
      <c r="L25">
        <f t="shared" si="3"/>
        <v>0.10733993903104988</v>
      </c>
      <c r="M25">
        <f t="shared" si="4"/>
        <v>0.10733993903104988</v>
      </c>
      <c r="N25">
        <f t="shared" si="5"/>
        <v>-7.6680743609983289E-4</v>
      </c>
      <c r="O25">
        <f t="shared" si="6"/>
        <v>7.6680743609983289E-4</v>
      </c>
      <c r="AD25">
        <f t="shared" si="8"/>
        <v>1.4726660357018365E-2</v>
      </c>
    </row>
    <row r="26" spans="1:30" x14ac:dyDescent="0.2">
      <c r="A26" s="2">
        <v>43585</v>
      </c>
      <c r="B26" s="3">
        <v>1.4794520547945205</v>
      </c>
      <c r="C26">
        <v>1.2500000000000001E-2</v>
      </c>
      <c r="D26">
        <v>99.567618232044197</v>
      </c>
      <c r="E26">
        <v>1.5600000000000001E-2</v>
      </c>
      <c r="G26" s="2">
        <f t="shared" si="0"/>
        <v>43039</v>
      </c>
      <c r="H26" s="2">
        <f t="shared" si="1"/>
        <v>43220</v>
      </c>
      <c r="I26">
        <f t="shared" si="2"/>
        <v>2.0718232044198894E-2</v>
      </c>
      <c r="J26" s="1">
        <f>IFERROR(getBondPrice($A$1,A26,C26,100,$W$3,$W$4,$W$5,$W$6,$W$7), 100000)</f>
        <v>99.683158178541021</v>
      </c>
      <c r="K26" s="1">
        <f t="shared" si="7"/>
        <v>1.4808538664412719E-2</v>
      </c>
      <c r="L26">
        <f t="shared" si="3"/>
        <v>0.11553994649682409</v>
      </c>
      <c r="M26">
        <f t="shared" si="4"/>
        <v>0.11553994649682409</v>
      </c>
      <c r="N26">
        <f t="shared" si="5"/>
        <v>-7.9146133558728217E-4</v>
      </c>
      <c r="O26">
        <f t="shared" si="6"/>
        <v>7.9146133558728217E-4</v>
      </c>
      <c r="AD26">
        <f t="shared" si="8"/>
        <v>1.4801491993298704E-2</v>
      </c>
    </row>
    <row r="27" spans="1:30" x14ac:dyDescent="0.2">
      <c r="A27" s="2">
        <v>43600</v>
      </c>
      <c r="B27" s="3">
        <v>1.5205479452054795</v>
      </c>
      <c r="C27">
        <v>8.7500000000000008E-3</v>
      </c>
      <c r="D27">
        <v>99.384900543478267</v>
      </c>
      <c r="E27">
        <v>1.562E-2</v>
      </c>
      <c r="G27" s="2">
        <f t="shared" si="0"/>
        <v>42870</v>
      </c>
      <c r="H27" s="2">
        <f t="shared" si="1"/>
        <v>43054</v>
      </c>
      <c r="I27">
        <f t="shared" si="2"/>
        <v>0.41610054347826092</v>
      </c>
      <c r="J27" s="1">
        <f>IFERROR(getBondPrice($A$1,A27,C27,100,$W$3,$W$4,$W$5,$W$6,$W$7), 100000)</f>
        <v>99.494400890554829</v>
      </c>
      <c r="K27" s="1">
        <f t="shared" si="7"/>
        <v>1.4886922756488391E-2</v>
      </c>
      <c r="L27">
        <f t="shared" si="3"/>
        <v>0.10950034707656187</v>
      </c>
      <c r="M27">
        <f t="shared" si="4"/>
        <v>0.10950034707656187</v>
      </c>
      <c r="N27">
        <f t="shared" si="5"/>
        <v>-7.3307724351160883E-4</v>
      </c>
      <c r="O27">
        <f t="shared" si="6"/>
        <v>7.3307724351160883E-4</v>
      </c>
      <c r="AD27">
        <f t="shared" si="8"/>
        <v>1.487581211555573E-2</v>
      </c>
    </row>
    <row r="28" spans="1:30" x14ac:dyDescent="0.2">
      <c r="A28" s="2">
        <v>43616</v>
      </c>
      <c r="B28" s="3">
        <v>1.5643835616438355</v>
      </c>
      <c r="C28">
        <v>1.125E-2</v>
      </c>
      <c r="D28">
        <v>99.832529508196728</v>
      </c>
      <c r="E28">
        <v>1.5509999999999999E-2</v>
      </c>
      <c r="G28" s="2">
        <f t="shared" si="0"/>
        <v>42886</v>
      </c>
      <c r="H28" s="2">
        <f t="shared" si="1"/>
        <v>43069</v>
      </c>
      <c r="I28">
        <f t="shared" si="2"/>
        <v>0.48872950819672129</v>
      </c>
      <c r="J28" s="1">
        <f>IFERROR(getBondPrice($A$1,A28,C28,100,$W$3,$W$4,$W$5,$W$6,$W$7), 100000)</f>
        <v>99.911784898185687</v>
      </c>
      <c r="K28" s="1">
        <f t="shared" si="7"/>
        <v>1.4990848981560029E-2</v>
      </c>
      <c r="L28">
        <f t="shared" si="3"/>
        <v>7.9255389988958314E-2</v>
      </c>
      <c r="M28">
        <f t="shared" si="4"/>
        <v>7.9255389988958314E-2</v>
      </c>
      <c r="N28">
        <f t="shared" si="5"/>
        <v>-5.1915101843997072E-4</v>
      </c>
      <c r="O28">
        <f t="shared" si="6"/>
        <v>5.1915101843997072E-4</v>
      </c>
      <c r="AD28">
        <f t="shared" si="8"/>
        <v>1.4954526313852409E-2</v>
      </c>
    </row>
    <row r="29" spans="1:30" x14ac:dyDescent="0.2">
      <c r="A29" s="2">
        <v>43631</v>
      </c>
      <c r="B29" s="3">
        <v>1.6054794520547946</v>
      </c>
      <c r="C29">
        <v>8.7500000000000008E-3</v>
      </c>
      <c r="D29">
        <v>99.219262295081961</v>
      </c>
      <c r="E29">
        <v>1.5890000000000001E-2</v>
      </c>
      <c r="G29" s="2">
        <f t="shared" si="0"/>
        <v>42901</v>
      </c>
      <c r="H29" s="2">
        <f t="shared" si="1"/>
        <v>43084</v>
      </c>
      <c r="I29">
        <f t="shared" si="2"/>
        <v>0.34426229508196726</v>
      </c>
      <c r="J29" s="1">
        <f>IFERROR(getBondPrice($A$1,A29,C29,100,$W$3,$W$4,$W$5,$W$6,$W$7), 100000)</f>
        <v>99.344968329287852</v>
      </c>
      <c r="K29" s="1">
        <f t="shared" si="7"/>
        <v>1.5067339623043012E-2</v>
      </c>
      <c r="L29">
        <f t="shared" si="3"/>
        <v>0.12570603420589066</v>
      </c>
      <c r="M29">
        <f t="shared" si="4"/>
        <v>0.12570603420589066</v>
      </c>
      <c r="N29">
        <f t="shared" si="5"/>
        <v>-8.2266037695698929E-4</v>
      </c>
      <c r="O29">
        <f t="shared" si="6"/>
        <v>8.2266037695698929E-4</v>
      </c>
      <c r="AD29">
        <f t="shared" si="8"/>
        <v>1.5027798308250823E-2</v>
      </c>
    </row>
    <row r="30" spans="1:30" x14ac:dyDescent="0.2">
      <c r="A30" s="2">
        <v>43646</v>
      </c>
      <c r="B30" s="3">
        <v>1.6465753424657534</v>
      </c>
      <c r="C30">
        <v>0.01</v>
      </c>
      <c r="D30">
        <v>99.405243478260871</v>
      </c>
      <c r="E30">
        <v>1.583E-2</v>
      </c>
      <c r="G30" s="2">
        <f t="shared" si="0"/>
        <v>42916</v>
      </c>
      <c r="H30" s="2">
        <f t="shared" si="1"/>
        <v>43100</v>
      </c>
      <c r="I30">
        <f t="shared" si="2"/>
        <v>0.35054347826086957</v>
      </c>
      <c r="J30" s="1">
        <f>IFERROR(getBondPrice($A$1,A30,C30,100,$W$3,$W$4,$W$5,$W$6,$W$7), 100000)</f>
        <v>99.518704527967273</v>
      </c>
      <c r="K30" s="1">
        <f t="shared" si="7"/>
        <v>1.5122878539440334E-2</v>
      </c>
      <c r="L30">
        <f t="shared" si="3"/>
        <v>0.1134610497064017</v>
      </c>
      <c r="M30">
        <f t="shared" si="4"/>
        <v>0.1134610497064017</v>
      </c>
      <c r="N30">
        <f t="shared" si="5"/>
        <v>-7.0712146055966658E-4</v>
      </c>
      <c r="O30">
        <f t="shared" si="6"/>
        <v>7.0712146055966658E-4</v>
      </c>
      <c r="AD30">
        <f t="shared" si="8"/>
        <v>1.5100567483349314E-2</v>
      </c>
    </row>
    <row r="31" spans="1:30" x14ac:dyDescent="0.2">
      <c r="A31" s="2">
        <v>43661</v>
      </c>
      <c r="B31" s="3">
        <v>1.6876712328767123</v>
      </c>
      <c r="C31">
        <v>7.4999999999999997E-3</v>
      </c>
      <c r="D31">
        <v>98.857336956521735</v>
      </c>
      <c r="E31">
        <v>1.5769999999999999E-2</v>
      </c>
      <c r="G31" s="2">
        <f t="shared" si="0"/>
        <v>42931</v>
      </c>
      <c r="H31" s="2">
        <f t="shared" si="1"/>
        <v>43115</v>
      </c>
      <c r="I31">
        <f t="shared" si="2"/>
        <v>0.23233695652173914</v>
      </c>
      <c r="J31" s="1">
        <f>IFERROR(getBondPrice($A$1,A31,C31,100,$W$3,$W$4,$W$5,$W$6,$W$7), 100000)</f>
        <v>98.951746651000661</v>
      </c>
      <c r="K31" s="1">
        <f t="shared" si="7"/>
        <v>1.5200971804531054E-2</v>
      </c>
      <c r="L31">
        <f t="shared" si="3"/>
        <v>9.4409694478926554E-2</v>
      </c>
      <c r="M31">
        <f t="shared" si="4"/>
        <v>9.4409694478926554E-2</v>
      </c>
      <c r="N31">
        <f t="shared" si="5"/>
        <v>-5.6902819546894579E-4</v>
      </c>
      <c r="O31">
        <f t="shared" si="6"/>
        <v>5.6902819546894579E-4</v>
      </c>
      <c r="AD31">
        <f t="shared" si="8"/>
        <v>1.5172836658691782E-2</v>
      </c>
    </row>
    <row r="32" spans="1:30" x14ac:dyDescent="0.2">
      <c r="A32" s="2">
        <v>43677</v>
      </c>
      <c r="B32" s="3">
        <v>1.7315068493150685</v>
      </c>
      <c r="C32">
        <v>8.7500000000000008E-3</v>
      </c>
      <c r="D32">
        <v>99.022116304347833</v>
      </c>
      <c r="E32">
        <v>1.5859999999999999E-2</v>
      </c>
      <c r="G32" s="2">
        <f t="shared" si="0"/>
        <v>42947</v>
      </c>
      <c r="H32" s="2">
        <f t="shared" si="1"/>
        <v>43131</v>
      </c>
      <c r="I32">
        <f t="shared" si="2"/>
        <v>0.23301630434782614</v>
      </c>
      <c r="J32" s="1">
        <f>IFERROR(getBondPrice($A$1,A32,C32,100,$W$3,$W$4,$W$5,$W$6,$W$7), 100000)</f>
        <v>99.119505771670177</v>
      </c>
      <c r="K32" s="1">
        <f t="shared" si="7"/>
        <v>1.5280277115608816E-2</v>
      </c>
      <c r="L32">
        <f t="shared" si="3"/>
        <v>9.7389467322344103E-2</v>
      </c>
      <c r="M32">
        <f t="shared" si="4"/>
        <v>9.7389467322344103E-2</v>
      </c>
      <c r="N32">
        <f t="shared" si="5"/>
        <v>-5.7972288439118308E-4</v>
      </c>
      <c r="O32">
        <f t="shared" si="6"/>
        <v>5.7972288439118308E-4</v>
      </c>
      <c r="AD32">
        <f t="shared" si="8"/>
        <v>1.5249375836200032E-2</v>
      </c>
    </row>
    <row r="33" spans="1:30" x14ac:dyDescent="0.2">
      <c r="A33" s="2">
        <v>43692</v>
      </c>
      <c r="B33" s="3">
        <v>1.7726027397260273</v>
      </c>
      <c r="C33">
        <v>7.4999999999999997E-3</v>
      </c>
      <c r="D33">
        <v>98.700457608695658</v>
      </c>
      <c r="E33">
        <v>1.593E-2</v>
      </c>
      <c r="G33" s="2">
        <f t="shared" si="0"/>
        <v>42962</v>
      </c>
      <c r="H33" s="2">
        <f t="shared" si="1"/>
        <v>43146</v>
      </c>
      <c r="I33">
        <f t="shared" si="2"/>
        <v>0.16915760869565216</v>
      </c>
      <c r="J33" s="1">
        <f>IFERROR(getBondPrice($A$1,A33,C33,100,$W$3,$W$4,$W$5,$W$6,$W$7), 100000)</f>
        <v>98.798758908501057</v>
      </c>
      <c r="K33" s="1">
        <f t="shared" si="7"/>
        <v>1.5356192112792185E-2</v>
      </c>
      <c r="L33">
        <f t="shared" si="3"/>
        <v>9.8301299805399367E-2</v>
      </c>
      <c r="M33">
        <f t="shared" si="4"/>
        <v>9.8301299805399367E-2</v>
      </c>
      <c r="N33">
        <f t="shared" si="5"/>
        <v>-5.7380788720781499E-4</v>
      </c>
      <c r="O33">
        <f t="shared" si="6"/>
        <v>5.7380788720781499E-4</v>
      </c>
      <c r="AD33">
        <f t="shared" si="8"/>
        <v>1.5320620580383916E-2</v>
      </c>
    </row>
    <row r="34" spans="1:30" x14ac:dyDescent="0.2">
      <c r="A34" s="2">
        <v>43708</v>
      </c>
      <c r="B34" s="3">
        <v>1.8164383561643835</v>
      </c>
      <c r="C34">
        <v>0.01</v>
      </c>
      <c r="D34">
        <v>99.099182872928182</v>
      </c>
      <c r="E34">
        <v>1.609E-2</v>
      </c>
      <c r="G34" s="2">
        <f t="shared" si="0"/>
        <v>42978</v>
      </c>
      <c r="H34" s="2">
        <f t="shared" si="1"/>
        <v>43159</v>
      </c>
      <c r="I34">
        <f t="shared" si="2"/>
        <v>0.18508287292817679</v>
      </c>
      <c r="J34" s="1">
        <f>IFERROR(getBondPrice($A$1,A34,C34,100,$W$3,$W$4,$W$5,$W$6,$W$7), 100000)</f>
        <v>99.211495540252329</v>
      </c>
      <c r="K34" s="1">
        <f t="shared" si="7"/>
        <v>1.545815025454828E-2</v>
      </c>
      <c r="L34">
        <f t="shared" si="3"/>
        <v>0.11231266732414724</v>
      </c>
      <c r="M34">
        <f t="shared" si="4"/>
        <v>0.11231266732414724</v>
      </c>
      <c r="N34">
        <f t="shared" si="5"/>
        <v>-6.3184974545171975E-4</v>
      </c>
      <c r="O34">
        <f t="shared" si="6"/>
        <v>6.3184974545171975E-4</v>
      </c>
      <c r="AD34">
        <f t="shared" si="8"/>
        <v>1.5396073409109498E-2</v>
      </c>
    </row>
    <row r="35" spans="1:30" x14ac:dyDescent="0.2">
      <c r="A35" s="2">
        <v>43723</v>
      </c>
      <c r="B35" s="3">
        <v>1.8575342465753424</v>
      </c>
      <c r="C35">
        <v>8.7500000000000008E-3</v>
      </c>
      <c r="D35">
        <v>98.781990607734812</v>
      </c>
      <c r="E35">
        <v>1.6129999999999999E-2</v>
      </c>
      <c r="G35" s="2">
        <f t="shared" si="0"/>
        <v>42993</v>
      </c>
      <c r="H35" s="2">
        <f t="shared" si="1"/>
        <v>43174</v>
      </c>
      <c r="I35">
        <f t="shared" si="2"/>
        <v>0.12569060773480664</v>
      </c>
      <c r="J35" s="1">
        <f>IFERROR(getBondPrice($A$1,A35,C35,100,$W$3,$W$4,$W$5,$W$6,$W$7), 100000)</f>
        <v>98.890008993955135</v>
      </c>
      <c r="K35" s="1">
        <f t="shared" si="7"/>
        <v>1.5526795175251748E-2</v>
      </c>
      <c r="L35">
        <f t="shared" si="3"/>
        <v>0.10801838622032278</v>
      </c>
      <c r="M35">
        <f t="shared" si="4"/>
        <v>0.10801838622032278</v>
      </c>
      <c r="N35">
        <f t="shared" si="5"/>
        <v>-6.0320482474825014E-4</v>
      </c>
      <c r="O35">
        <f t="shared" si="6"/>
        <v>6.0320482474825014E-4</v>
      </c>
      <c r="AD35">
        <f t="shared" si="8"/>
        <v>1.5466305663637339E-2</v>
      </c>
    </row>
    <row r="36" spans="1:30" x14ac:dyDescent="0.2">
      <c r="A36" s="2">
        <v>43738</v>
      </c>
      <c r="B36" s="3">
        <v>1.8986301369863015</v>
      </c>
      <c r="C36">
        <v>0.01</v>
      </c>
      <c r="D36">
        <v>98.968848351648347</v>
      </c>
      <c r="E36">
        <v>1.6080000000000001E-2</v>
      </c>
      <c r="G36" s="2">
        <f t="shared" si="0"/>
        <v>43008</v>
      </c>
      <c r="H36" s="2">
        <f t="shared" si="1"/>
        <v>43190</v>
      </c>
      <c r="I36">
        <f t="shared" si="2"/>
        <v>0.10164835164835165</v>
      </c>
      <c r="J36" s="1">
        <f>IFERROR(getBondPrice($A$1,A36,C36,100,$W$3,$W$4,$W$5,$W$6,$W$7), 100000)</f>
        <v>99.060070622032583</v>
      </c>
      <c r="K36" s="1">
        <f t="shared" si="7"/>
        <v>1.5587995863410382E-2</v>
      </c>
      <c r="L36">
        <f t="shared" si="3"/>
        <v>9.1222270384236026E-2</v>
      </c>
      <c r="M36">
        <f t="shared" si="4"/>
        <v>9.1222270384236026E-2</v>
      </c>
      <c r="N36">
        <f t="shared" si="5"/>
        <v>-4.9200413658961883E-4</v>
      </c>
      <c r="O36">
        <f t="shared" si="6"/>
        <v>4.9200413658961883E-4</v>
      </c>
      <c r="AD36">
        <f t="shared" si="8"/>
        <v>1.553605227057922E-2</v>
      </c>
    </row>
    <row r="37" spans="1:30" x14ac:dyDescent="0.2">
      <c r="A37" s="2">
        <v>43753</v>
      </c>
      <c r="B37" s="3">
        <v>1.9397260273972603</v>
      </c>
      <c r="C37">
        <v>0.01</v>
      </c>
      <c r="D37">
        <v>98.896339560439557</v>
      </c>
      <c r="E37">
        <v>1.6120000000000002E-2</v>
      </c>
      <c r="G37" s="2">
        <f t="shared" si="0"/>
        <v>43023</v>
      </c>
      <c r="H37" s="2">
        <f t="shared" si="1"/>
        <v>43205</v>
      </c>
      <c r="I37">
        <f t="shared" si="2"/>
        <v>6.043956043956044E-2</v>
      </c>
      <c r="J37" s="1">
        <f>IFERROR(getBondPrice($A$1,A37,C37,100,$W$3,$W$4,$W$5,$W$6,$W$7), 100000)</f>
        <v>98.983747138860579</v>
      </c>
      <c r="K37" s="1">
        <f t="shared" si="7"/>
        <v>1.5656542531076043E-2</v>
      </c>
      <c r="L37">
        <f t="shared" si="3"/>
        <v>8.7407578421021981E-2</v>
      </c>
      <c r="M37">
        <f t="shared" si="4"/>
        <v>8.7407578421021981E-2</v>
      </c>
      <c r="N37">
        <f t="shared" si="5"/>
        <v>-4.6345746892395914E-4</v>
      </c>
      <c r="O37">
        <f t="shared" si="6"/>
        <v>4.6345746892395914E-4</v>
      </c>
      <c r="AD37">
        <f t="shared" si="8"/>
        <v>1.5605316002145814E-2</v>
      </c>
    </row>
    <row r="38" spans="1:30" x14ac:dyDescent="0.2">
      <c r="A38" s="2">
        <v>43769</v>
      </c>
      <c r="B38" s="3">
        <v>1.9835616438356165</v>
      </c>
      <c r="C38">
        <v>1.2500000000000001E-2</v>
      </c>
      <c r="D38">
        <v>99.309818232044208</v>
      </c>
      <c r="E38">
        <v>1.6160000000000001E-2</v>
      </c>
      <c r="G38" s="2">
        <f t="shared" si="0"/>
        <v>43039</v>
      </c>
      <c r="H38" s="2">
        <f t="shared" si="1"/>
        <v>43220</v>
      </c>
      <c r="I38">
        <f t="shared" si="2"/>
        <v>2.0718232044198894E-2</v>
      </c>
      <c r="J38" s="1">
        <f>IFERROR(getBondPrice($A$1,A38,C38,100,$W$3,$W$4,$W$5,$W$6,$W$7), 100000)</f>
        <v>99.392928901058937</v>
      </c>
      <c r="K38" s="1">
        <f t="shared" si="7"/>
        <v>1.5726824218014124E-2</v>
      </c>
      <c r="L38">
        <f t="shared" si="3"/>
        <v>8.311066901472941E-2</v>
      </c>
      <c r="M38">
        <f t="shared" si="4"/>
        <v>8.311066901472941E-2</v>
      </c>
      <c r="N38">
        <f t="shared" si="5"/>
        <v>-4.3317578198587628E-4</v>
      </c>
      <c r="O38">
        <f t="shared" si="6"/>
        <v>4.3317578198587628E-4</v>
      </c>
      <c r="AD38">
        <f t="shared" si="8"/>
        <v>1.5678668194501692E-2</v>
      </c>
    </row>
    <row r="39" spans="1:30" x14ac:dyDescent="0.2">
      <c r="A39" s="2">
        <v>43784</v>
      </c>
      <c r="B39" s="3">
        <v>2.0246575342465754</v>
      </c>
      <c r="C39">
        <v>0.01</v>
      </c>
      <c r="D39">
        <v>99.233343478260878</v>
      </c>
      <c r="E39">
        <v>1.626E-2</v>
      </c>
      <c r="G39" s="2">
        <f t="shared" si="0"/>
        <v>42870</v>
      </c>
      <c r="H39" s="2">
        <f t="shared" si="1"/>
        <v>43054</v>
      </c>
      <c r="I39">
        <f t="shared" si="2"/>
        <v>0.47554347826086957</v>
      </c>
      <c r="J39" s="1">
        <f>IFERROR(getBondPrice($A$1,A39,C39,100,$W$3,$W$4,$W$5,$W$6,$W$7), 100000)</f>
        <v>99.324609410539949</v>
      </c>
      <c r="K39" s="1">
        <f t="shared" si="7"/>
        <v>1.5798511951071167E-2</v>
      </c>
      <c r="L39">
        <f t="shared" si="3"/>
        <v>9.1265932279071649E-2</v>
      </c>
      <c r="M39">
        <f t="shared" si="4"/>
        <v>9.1265932279071649E-2</v>
      </c>
      <c r="N39">
        <f t="shared" si="5"/>
        <v>-4.6148804892883269E-4</v>
      </c>
      <c r="O39">
        <f t="shared" si="6"/>
        <v>4.6148804892883269E-4</v>
      </c>
      <c r="AD39">
        <f t="shared" si="8"/>
        <v>1.574694273530285E-2</v>
      </c>
    </row>
    <row r="40" spans="1:30" x14ac:dyDescent="0.2">
      <c r="A40" s="2">
        <v>43799</v>
      </c>
      <c r="B40" s="3">
        <v>2.0657534246575344</v>
      </c>
      <c r="C40">
        <v>0.01</v>
      </c>
      <c r="D40">
        <v>99.161026229508195</v>
      </c>
      <c r="E40">
        <v>1.6289999999999999E-2</v>
      </c>
      <c r="G40" s="2">
        <f t="shared" si="0"/>
        <v>42886</v>
      </c>
      <c r="H40" s="2">
        <f t="shared" si="1"/>
        <v>43069</v>
      </c>
      <c r="I40">
        <f t="shared" si="2"/>
        <v>0.4344262295081967</v>
      </c>
      <c r="J40" s="1">
        <f>IFERROR(getBondPrice($A$1,A40,C40,100,$W$3,$W$4,$W$5,$W$6,$W$7), 100000)</f>
        <v>99.246752986075521</v>
      </c>
      <c r="K40" s="1">
        <f t="shared" si="7"/>
        <v>1.5866242780350238E-2</v>
      </c>
      <c r="L40">
        <f t="shared" si="3"/>
        <v>8.5726756567325424E-2</v>
      </c>
      <c r="M40">
        <f t="shared" si="4"/>
        <v>8.5726756567325424E-2</v>
      </c>
      <c r="N40">
        <f t="shared" si="5"/>
        <v>-4.2375721964976049E-4</v>
      </c>
      <c r="O40">
        <f t="shared" si="6"/>
        <v>4.2375721964976049E-4</v>
      </c>
      <c r="AD40">
        <f t="shared" si="8"/>
        <v>1.5814742854052679E-2</v>
      </c>
    </row>
    <row r="41" spans="1:30" x14ac:dyDescent="0.2">
      <c r="A41" s="2">
        <v>43814</v>
      </c>
      <c r="B41" s="3">
        <v>2.106849315068493</v>
      </c>
      <c r="C41">
        <v>1.375E-2</v>
      </c>
      <c r="D41">
        <v>99.986283606557379</v>
      </c>
      <c r="E41">
        <v>1.644E-2</v>
      </c>
      <c r="G41" s="2">
        <f t="shared" si="0"/>
        <v>42901</v>
      </c>
      <c r="H41" s="2">
        <f t="shared" si="1"/>
        <v>43084</v>
      </c>
      <c r="I41">
        <f t="shared" si="2"/>
        <v>0.54098360655737709</v>
      </c>
      <c r="J41" s="1">
        <f>IFERROR(getBondPrice($A$1,A41,C41,100,$W$3,$W$4,$W$5,$W$6,$W$7), 100000)</f>
        <v>100.09077721351372</v>
      </c>
      <c r="K41" s="1">
        <f t="shared" si="7"/>
        <v>1.5929505996826243E-2</v>
      </c>
      <c r="L41">
        <f t="shared" si="3"/>
        <v>0.10449360695633914</v>
      </c>
      <c r="M41">
        <f t="shared" si="4"/>
        <v>0.10449360695633914</v>
      </c>
      <c r="N41">
        <f t="shared" si="5"/>
        <v>-5.1049400317375662E-4</v>
      </c>
      <c r="O41">
        <f t="shared" si="6"/>
        <v>5.1049400317375662E-4</v>
      </c>
      <c r="AD41">
        <f t="shared" si="8"/>
        <v>1.5882071291577878E-2</v>
      </c>
    </row>
    <row r="42" spans="1:30" x14ac:dyDescent="0.2">
      <c r="A42" s="2">
        <v>43830</v>
      </c>
      <c r="B42" s="3">
        <v>2.1506849315068495</v>
      </c>
      <c r="C42">
        <v>1.125E-2</v>
      </c>
      <c r="D42">
        <v>99.308461413043489</v>
      </c>
      <c r="E42">
        <v>1.6410000000000001E-2</v>
      </c>
      <c r="G42" s="2">
        <f t="shared" si="0"/>
        <v>42916</v>
      </c>
      <c r="H42" s="2">
        <f t="shared" si="1"/>
        <v>43100</v>
      </c>
      <c r="I42">
        <f t="shared" si="2"/>
        <v>0.39436141304347827</v>
      </c>
      <c r="J42" s="1">
        <f>IFERROR(getBondPrice($A$1,A42,C42,100,$W$3,$W$4,$W$5,$W$6,$W$7), 100000)</f>
        <v>99.391932295012779</v>
      </c>
      <c r="K42" s="1">
        <f t="shared" si="7"/>
        <v>1.601075468818872E-2</v>
      </c>
      <c r="L42">
        <f t="shared" si="3"/>
        <v>8.3470881969290645E-2</v>
      </c>
      <c r="M42">
        <f t="shared" si="4"/>
        <v>8.3470881969290645E-2</v>
      </c>
      <c r="N42">
        <f t="shared" si="5"/>
        <v>-3.9924531181128112E-4</v>
      </c>
      <c r="O42">
        <f t="shared" si="6"/>
        <v>3.9924531181128112E-4</v>
      </c>
      <c r="AD42">
        <f t="shared" si="8"/>
        <v>1.5953371473370368E-2</v>
      </c>
    </row>
    <row r="43" spans="1:30" x14ac:dyDescent="0.2">
      <c r="A43" s="2">
        <v>43845</v>
      </c>
      <c r="B43" s="3">
        <v>2.1917808219178081</v>
      </c>
      <c r="C43">
        <v>1.375E-2</v>
      </c>
      <c r="D43">
        <v>99.824351086956511</v>
      </c>
      <c r="E43">
        <v>1.6559999999999998E-2</v>
      </c>
      <c r="G43" s="2">
        <f t="shared" si="0"/>
        <v>42931</v>
      </c>
      <c r="H43" s="2">
        <f t="shared" si="1"/>
        <v>43115</v>
      </c>
      <c r="I43">
        <f t="shared" si="2"/>
        <v>0.42595108695652173</v>
      </c>
      <c r="J43" s="1">
        <f>IFERROR(getBondPrice($A$1,A43,C43,100,$W$3,$W$4,$W$5,$W$6,$W$7), 100000)</f>
        <v>99.926709824493159</v>
      </c>
      <c r="K43" s="1">
        <f t="shared" si="7"/>
        <v>1.6075899278190822E-2</v>
      </c>
      <c r="L43">
        <f t="shared" si="3"/>
        <v>0.10235873753664748</v>
      </c>
      <c r="M43">
        <f t="shared" si="4"/>
        <v>0.10235873753664748</v>
      </c>
      <c r="N43">
        <f t="shared" si="5"/>
        <v>-4.8410072180917613E-4</v>
      </c>
      <c r="O43">
        <f t="shared" si="6"/>
        <v>4.8410072180917613E-4</v>
      </c>
      <c r="AD43">
        <f t="shared" si="8"/>
        <v>1.6019733755255786E-2</v>
      </c>
    </row>
    <row r="44" spans="1:30" x14ac:dyDescent="0.2">
      <c r="A44" s="2">
        <v>43861</v>
      </c>
      <c r="B44" s="3">
        <v>2.2356164383561645</v>
      </c>
      <c r="C44">
        <v>1.2500000000000001E-2</v>
      </c>
      <c r="D44">
        <v>99.450080434782606</v>
      </c>
      <c r="E44">
        <v>1.6539999999999999E-2</v>
      </c>
      <c r="G44" s="2">
        <f t="shared" si="0"/>
        <v>42947</v>
      </c>
      <c r="H44" s="2">
        <f t="shared" si="1"/>
        <v>43131</v>
      </c>
      <c r="I44">
        <f t="shared" si="2"/>
        <v>0.3328804347826087</v>
      </c>
      <c r="J44" s="1">
        <f>IFERROR(getBondPrice($A$1,A44,C44,100,$W$3,$W$4,$W$5,$W$6,$W$7), 100000)</f>
        <v>99.534579831026917</v>
      </c>
      <c r="K44" s="1">
        <f t="shared" si="7"/>
        <v>1.6150297647578186E-2</v>
      </c>
      <c r="L44">
        <f t="shared" si="3"/>
        <v>8.4499396244311242E-2</v>
      </c>
      <c r="M44">
        <f t="shared" si="4"/>
        <v>8.4499396244311242E-2</v>
      </c>
      <c r="N44">
        <f t="shared" si="5"/>
        <v>-3.8970235242181267E-4</v>
      </c>
      <c r="O44">
        <f t="shared" si="6"/>
        <v>3.8970235242181267E-4</v>
      </c>
      <c r="AD44">
        <f t="shared" si="8"/>
        <v>1.6090009569507034E-2</v>
      </c>
    </row>
    <row r="45" spans="1:30" x14ac:dyDescent="0.2">
      <c r="A45" s="2">
        <v>43876</v>
      </c>
      <c r="B45" s="3">
        <v>2.2767123287671232</v>
      </c>
      <c r="C45">
        <v>1.375E-2</v>
      </c>
      <c r="D45">
        <v>99.669522282608696</v>
      </c>
      <c r="E45">
        <v>1.6629999999999999E-2</v>
      </c>
      <c r="G45" s="2">
        <f t="shared" si="0"/>
        <v>42962</v>
      </c>
      <c r="H45" s="2">
        <f t="shared" si="1"/>
        <v>43146</v>
      </c>
      <c r="I45">
        <f t="shared" si="2"/>
        <v>0.31012228260869568</v>
      </c>
      <c r="J45" s="1">
        <f>IFERROR(getBondPrice($A$1,A45,C45,100,$W$3,$W$4,$W$5,$W$6,$W$7), 100000)</f>
        <v>99.76094789927663</v>
      </c>
      <c r="K45" s="1">
        <f t="shared" si="7"/>
        <v>1.6216015335474194E-2</v>
      </c>
      <c r="L45">
        <f t="shared" si="3"/>
        <v>9.1425616667933696E-2</v>
      </c>
      <c r="M45">
        <f t="shared" si="4"/>
        <v>9.1425616667933696E-2</v>
      </c>
      <c r="N45">
        <f t="shared" si="5"/>
        <v>-4.139846645258051E-4</v>
      </c>
      <c r="O45">
        <f t="shared" si="6"/>
        <v>4.139846645258051E-4</v>
      </c>
      <c r="AD45">
        <f t="shared" si="8"/>
        <v>1.6155417301045281E-2</v>
      </c>
    </row>
    <row r="46" spans="1:30" x14ac:dyDescent="0.2">
      <c r="A46" s="2">
        <v>43890</v>
      </c>
      <c r="B46" s="3">
        <v>2.3150684931506849</v>
      </c>
      <c r="C46">
        <v>1.2500000000000001E-2</v>
      </c>
      <c r="D46">
        <v>99.293853591160214</v>
      </c>
      <c r="E46">
        <v>1.6639999999999999E-2</v>
      </c>
      <c r="G46" s="2">
        <f t="shared" si="0"/>
        <v>42978</v>
      </c>
      <c r="H46" s="2">
        <f t="shared" si="1"/>
        <v>43159</v>
      </c>
      <c r="I46">
        <f t="shared" si="2"/>
        <v>0.231353591160221</v>
      </c>
      <c r="J46" s="1">
        <f>IFERROR(getBondPrice($A$1,A46,C46,100,$W$3,$W$4,$W$5,$W$6,$W$7), 100000)</f>
        <v>99.379131505361642</v>
      </c>
      <c r="K46" s="1">
        <f t="shared" si="7"/>
        <v>1.6263511778679227E-2</v>
      </c>
      <c r="L46">
        <f t="shared" si="3"/>
        <v>8.5277914201427052E-2</v>
      </c>
      <c r="M46">
        <f t="shared" si="4"/>
        <v>8.5277914201427052E-2</v>
      </c>
      <c r="N46">
        <f t="shared" si="5"/>
        <v>-3.7648822132077195E-4</v>
      </c>
      <c r="O46">
        <f t="shared" si="6"/>
        <v>3.7648822132077195E-4</v>
      </c>
      <c r="AD46">
        <f t="shared" si="8"/>
        <v>1.6216051486096155E-2</v>
      </c>
    </row>
    <row r="47" spans="1:30" x14ac:dyDescent="0.2">
      <c r="A47" s="2">
        <v>43905</v>
      </c>
      <c r="B47" s="3">
        <v>2.3561643835616439</v>
      </c>
      <c r="C47">
        <v>1.6250000000000001E-2</v>
      </c>
      <c r="D47">
        <v>100.10062541436464</v>
      </c>
      <c r="E47">
        <v>1.6819999999999998E-2</v>
      </c>
      <c r="G47" s="2">
        <f t="shared" si="0"/>
        <v>42993</v>
      </c>
      <c r="H47" s="2">
        <f t="shared" si="1"/>
        <v>43174</v>
      </c>
      <c r="I47">
        <f t="shared" si="2"/>
        <v>0.23342541436464087</v>
      </c>
      <c r="J47" s="1">
        <f>IFERROR(getBondPrice($A$1,A47,C47,100,$W$3,$W$4,$W$5,$W$6,$W$7), 100000)</f>
        <v>100.21669015158099</v>
      </c>
      <c r="K47" s="1">
        <f t="shared" si="7"/>
        <v>1.6319751171101838E-2</v>
      </c>
      <c r="L47">
        <f t="shared" si="3"/>
        <v>0.11606473721634814</v>
      </c>
      <c r="M47">
        <f t="shared" si="4"/>
        <v>0.11606473721634814</v>
      </c>
      <c r="N47">
        <f t="shared" si="5"/>
        <v>-5.0024882889816019E-4</v>
      </c>
      <c r="O47">
        <f t="shared" si="6"/>
        <v>5.0024882889816019E-4</v>
      </c>
      <c r="AD47">
        <f t="shared" si="8"/>
        <v>1.628057669718877E-2</v>
      </c>
    </row>
    <row r="48" spans="1:30" x14ac:dyDescent="0.2">
      <c r="A48" s="2">
        <v>43921</v>
      </c>
      <c r="B48" s="3">
        <v>2.4</v>
      </c>
      <c r="C48">
        <v>1.125E-2</v>
      </c>
      <c r="D48">
        <v>98.825254395604389</v>
      </c>
      <c r="E48">
        <v>1.6750000000000001E-2</v>
      </c>
      <c r="G48" s="2">
        <f t="shared" si="0"/>
        <v>43008</v>
      </c>
      <c r="H48" s="2">
        <f t="shared" si="1"/>
        <v>43190</v>
      </c>
      <c r="I48">
        <f t="shared" si="2"/>
        <v>0.1143543956043956</v>
      </c>
      <c r="J48" s="1">
        <f>IFERROR(getBondPrice($A$1,A48,C48,100,$W$3,$W$4,$W$5,$W$6,$W$7), 100000)</f>
        <v>98.905652495218206</v>
      </c>
      <c r="K48" s="1">
        <f t="shared" si="7"/>
        <v>1.6408590263141547E-2</v>
      </c>
      <c r="L48">
        <f t="shared" si="3"/>
        <v>8.0398099613816498E-2</v>
      </c>
      <c r="M48">
        <f t="shared" si="4"/>
        <v>8.0398099613816498E-2</v>
      </c>
      <c r="N48">
        <f t="shared" si="5"/>
        <v>-3.4140973685845358E-4</v>
      </c>
      <c r="O48">
        <f t="shared" si="6"/>
        <v>3.4140973685845358E-4</v>
      </c>
      <c r="AD48">
        <f t="shared" si="8"/>
        <v>1.6348904863099208E-2</v>
      </c>
    </row>
    <row r="49" spans="1:30" x14ac:dyDescent="0.2">
      <c r="A49" s="2">
        <v>43951</v>
      </c>
      <c r="B49" s="3">
        <v>2.4821917808219176</v>
      </c>
      <c r="C49">
        <v>1.125E-2</v>
      </c>
      <c r="D49">
        <v>98.651446408839789</v>
      </c>
      <c r="E49">
        <v>1.6890000000000002E-2</v>
      </c>
      <c r="G49" s="2">
        <f t="shared" si="0"/>
        <v>43039</v>
      </c>
      <c r="H49" s="2">
        <f t="shared" si="1"/>
        <v>43220</v>
      </c>
      <c r="I49">
        <f t="shared" si="2"/>
        <v>1.8646408839779006E-2</v>
      </c>
      <c r="J49" s="1">
        <f>IFERROR(getBondPrice($A$1,A49,C49,100,$W$3,$W$4,$W$5,$W$6,$W$7), 100000)</f>
        <v>98.742408823532614</v>
      </c>
      <c r="K49" s="1">
        <f t="shared" si="7"/>
        <v>1.6516014881942691E-2</v>
      </c>
      <c r="L49">
        <f t="shared" si="3"/>
        <v>9.0962414692825178E-2</v>
      </c>
      <c r="M49">
        <f t="shared" si="4"/>
        <v>9.0962414692825178E-2</v>
      </c>
      <c r="N49">
        <f t="shared" si="5"/>
        <v>-3.7398511805731074E-4</v>
      </c>
      <c r="O49">
        <f t="shared" si="6"/>
        <v>3.7398511805731074E-4</v>
      </c>
      <c r="AD49">
        <f t="shared" si="8"/>
        <v>1.647564371580202E-2</v>
      </c>
    </row>
    <row r="50" spans="1:30" x14ac:dyDescent="0.2">
      <c r="A50" s="2">
        <v>43966</v>
      </c>
      <c r="B50" s="3">
        <v>2.5232876712328767</v>
      </c>
      <c r="C50">
        <v>1.4999999999999999E-2</v>
      </c>
      <c r="D50">
        <v>100.2289152173913</v>
      </c>
      <c r="E50">
        <v>1.6969999999999999E-2</v>
      </c>
      <c r="G50" s="2">
        <f t="shared" si="0"/>
        <v>42870</v>
      </c>
      <c r="H50" s="2">
        <f t="shared" si="1"/>
        <v>43054</v>
      </c>
      <c r="I50">
        <f t="shared" si="2"/>
        <v>0.71331521739130432</v>
      </c>
      <c r="J50" s="1">
        <f>IFERROR(getBondPrice($A$1,A50,C50,100,$W$3,$W$4,$W$5,$W$6,$W$7), 100000)</f>
        <v>100.3259280487874</v>
      </c>
      <c r="K50" s="1">
        <f t="shared" si="7"/>
        <v>1.6572623622811606E-2</v>
      </c>
      <c r="L50">
        <f t="shared" si="3"/>
        <v>9.7012831396099841E-2</v>
      </c>
      <c r="M50">
        <f t="shared" si="4"/>
        <v>9.7012831396099841E-2</v>
      </c>
      <c r="N50">
        <f t="shared" si="5"/>
        <v>-3.97376377188393E-4</v>
      </c>
      <c r="O50">
        <f t="shared" si="6"/>
        <v>3.97376377188393E-4</v>
      </c>
      <c r="AD50">
        <f t="shared" si="8"/>
        <v>1.6538345296577536E-2</v>
      </c>
    </row>
    <row r="51" spans="1:30" x14ac:dyDescent="0.2">
      <c r="A51" s="2">
        <v>43982</v>
      </c>
      <c r="B51" s="3">
        <v>2.5671232876712327</v>
      </c>
      <c r="C51">
        <v>1.375E-2</v>
      </c>
      <c r="D51">
        <v>99.800436065573777</v>
      </c>
      <c r="E51">
        <v>1.694E-2</v>
      </c>
      <c r="G51" s="2">
        <f t="shared" si="0"/>
        <v>42886</v>
      </c>
      <c r="H51" s="2">
        <f t="shared" si="1"/>
        <v>43069</v>
      </c>
      <c r="I51">
        <f t="shared" si="2"/>
        <v>0.5973360655737705</v>
      </c>
      <c r="J51" s="1">
        <f>IFERROR(getBondPrice($A$1,A51,C51,100,$W$3,$W$4,$W$5,$W$6,$W$7), 100000)</f>
        <v>99.869480783372055</v>
      </c>
      <c r="K51" s="1">
        <f t="shared" si="7"/>
        <v>1.6658561499670887E-2</v>
      </c>
      <c r="L51">
        <f t="shared" si="3"/>
        <v>6.9044717798277588E-2</v>
      </c>
      <c r="M51">
        <f t="shared" si="4"/>
        <v>6.9044717798277588E-2</v>
      </c>
      <c r="N51">
        <f t="shared" si="5"/>
        <v>-2.8143850032911338E-4</v>
      </c>
      <c r="O51">
        <f t="shared" si="6"/>
        <v>2.8143850032911338E-4</v>
      </c>
      <c r="AD51">
        <f t="shared" si="8"/>
        <v>1.6604740209363648E-2</v>
      </c>
    </row>
    <row r="52" spans="1:30" x14ac:dyDescent="0.2">
      <c r="A52" s="2">
        <v>43997</v>
      </c>
      <c r="B52" s="3">
        <v>2.6082191780821917</v>
      </c>
      <c r="C52">
        <v>1.4999999999999999E-2</v>
      </c>
      <c r="D52">
        <v>100.07456393442622</v>
      </c>
      <c r="E52">
        <v>1.703E-2</v>
      </c>
      <c r="G52" s="2">
        <f t="shared" si="0"/>
        <v>42901</v>
      </c>
      <c r="H52" s="2">
        <f t="shared" si="1"/>
        <v>43084</v>
      </c>
      <c r="I52">
        <f t="shared" si="2"/>
        <v>0.5901639344262295</v>
      </c>
      <c r="J52" s="1">
        <f>IFERROR(getBondPrice($A$1,A52,C52,100,$W$3,$W$4,$W$5,$W$6,$W$7), 100000)</f>
        <v>100.15316552046349</v>
      </c>
      <c r="K52" s="1">
        <f t="shared" si="7"/>
        <v>1.6718263269892505E-2</v>
      </c>
      <c r="L52">
        <f t="shared" si="3"/>
        <v>7.8601586037265747E-2</v>
      </c>
      <c r="M52">
        <f t="shared" si="4"/>
        <v>7.8601586037265747E-2</v>
      </c>
      <c r="N52">
        <f t="shared" si="5"/>
        <v>-3.1173673010749525E-4</v>
      </c>
      <c r="O52">
        <f t="shared" si="6"/>
        <v>3.1173673010749525E-4</v>
      </c>
      <c r="AD52">
        <f t="shared" si="8"/>
        <v>1.6666531886006548E-2</v>
      </c>
    </row>
    <row r="53" spans="1:30" x14ac:dyDescent="0.2">
      <c r="A53" s="2">
        <v>44012</v>
      </c>
      <c r="B53" s="3">
        <v>2.6493150684931508</v>
      </c>
      <c r="C53">
        <v>1.6250000000000001E-2</v>
      </c>
      <c r="D53">
        <v>100.3430331521739</v>
      </c>
      <c r="E53">
        <v>1.7129999999999999E-2</v>
      </c>
      <c r="G53" s="2">
        <f t="shared" si="0"/>
        <v>42916</v>
      </c>
      <c r="H53" s="2">
        <f t="shared" si="1"/>
        <v>43100</v>
      </c>
      <c r="I53">
        <f t="shared" si="2"/>
        <v>0.56963315217391308</v>
      </c>
      <c r="J53" s="1">
        <f>IFERROR(getBondPrice($A$1,A53,C53,100,$W$3,$W$4,$W$5,$W$6,$W$7), 100000)</f>
        <v>100.43590988867777</v>
      </c>
      <c r="K53" s="1">
        <f t="shared" si="7"/>
        <v>1.6765369160046176E-2</v>
      </c>
      <c r="L53">
        <f t="shared" si="3"/>
        <v>9.2876736503868074E-2</v>
      </c>
      <c r="M53">
        <f t="shared" si="4"/>
        <v>9.2876736503868074E-2</v>
      </c>
      <c r="N53">
        <f t="shared" si="5"/>
        <v>-3.6463083995382298E-4</v>
      </c>
      <c r="O53">
        <f t="shared" si="6"/>
        <v>3.6463083995382298E-4</v>
      </c>
      <c r="AD53">
        <f t="shared" si="8"/>
        <v>1.6727887337064939E-2</v>
      </c>
    </row>
    <row r="54" spans="1:30" x14ac:dyDescent="0.2">
      <c r="A54" s="2">
        <v>44027</v>
      </c>
      <c r="B54" s="3">
        <v>2.6904109589041094</v>
      </c>
      <c r="C54">
        <v>1.4999999999999999E-2</v>
      </c>
      <c r="D54">
        <v>99.902173913043484</v>
      </c>
      <c r="E54">
        <v>1.7150000000000002E-2</v>
      </c>
      <c r="G54" s="2">
        <f t="shared" si="0"/>
        <v>42931</v>
      </c>
      <c r="H54" s="2">
        <f t="shared" si="1"/>
        <v>43115</v>
      </c>
      <c r="I54">
        <f t="shared" si="2"/>
        <v>0.46467391304347827</v>
      </c>
      <c r="J54" s="1">
        <f>IFERROR(getBondPrice($A$1,A54,C54,100,$W$3,$W$4,$W$5,$W$6,$W$7), 100000)</f>
        <v>99.984443697823153</v>
      </c>
      <c r="K54" s="1">
        <f t="shared" si="7"/>
        <v>1.6830486267344843E-2</v>
      </c>
      <c r="L54">
        <f t="shared" si="3"/>
        <v>8.2269784779668953E-2</v>
      </c>
      <c r="M54">
        <f t="shared" si="4"/>
        <v>8.2269784779668953E-2</v>
      </c>
      <c r="N54">
        <f t="shared" si="5"/>
        <v>-3.195137326551592E-4</v>
      </c>
      <c r="O54">
        <f t="shared" si="6"/>
        <v>3.195137326551592E-4</v>
      </c>
      <c r="AD54">
        <f t="shared" si="8"/>
        <v>1.6788809193778811E-2</v>
      </c>
    </row>
    <row r="55" spans="1:30" x14ac:dyDescent="0.2">
      <c r="A55" s="2">
        <v>44043</v>
      </c>
      <c r="B55" s="3">
        <v>2.7342465753424658</v>
      </c>
      <c r="C55">
        <v>1.6250000000000001E-2</v>
      </c>
      <c r="D55">
        <v>100.17494456521739</v>
      </c>
      <c r="E55">
        <v>1.7219999999999999E-2</v>
      </c>
      <c r="G55" s="2">
        <f t="shared" si="0"/>
        <v>42947</v>
      </c>
      <c r="H55" s="2">
        <f t="shared" si="1"/>
        <v>43131</v>
      </c>
      <c r="I55">
        <f t="shared" si="2"/>
        <v>0.4327445652173913</v>
      </c>
      <c r="J55" s="1">
        <f>IFERROR(getBondPrice($A$1,A55,C55,100,$W$3,$W$4,$W$5,$W$6,$W$7), 100000)</f>
        <v>100.26044747943739</v>
      </c>
      <c r="K55" s="1">
        <f t="shared" si="7"/>
        <v>1.6894398083081106E-2</v>
      </c>
      <c r="L55">
        <f t="shared" si="3"/>
        <v>8.5502914220001003E-2</v>
      </c>
      <c r="M55">
        <f t="shared" si="4"/>
        <v>8.5502914220001003E-2</v>
      </c>
      <c r="N55">
        <f t="shared" si="5"/>
        <v>-3.2560191691889326E-4</v>
      </c>
      <c r="O55">
        <f t="shared" si="6"/>
        <v>3.2560191691889326E-4</v>
      </c>
      <c r="AD55">
        <f t="shared" si="8"/>
        <v>1.6853317546105116E-2</v>
      </c>
    </row>
    <row r="56" spans="1:30" x14ac:dyDescent="0.2">
      <c r="A56" s="2">
        <v>44058</v>
      </c>
      <c r="B56" s="3">
        <v>2.7753424657534245</v>
      </c>
      <c r="C56">
        <v>1.4999999999999999E-2</v>
      </c>
      <c r="D56">
        <v>99.752415217391302</v>
      </c>
      <c r="E56">
        <v>1.7170000000000001E-2</v>
      </c>
      <c r="G56" s="2">
        <f t="shared" si="0"/>
        <v>42962</v>
      </c>
      <c r="H56" s="2">
        <f t="shared" si="1"/>
        <v>43146</v>
      </c>
      <c r="I56">
        <f t="shared" si="2"/>
        <v>0.33831521739130432</v>
      </c>
      <c r="J56" s="1">
        <f>IFERROR(getBondPrice($A$1,A56,C56,100,$W$3,$W$4,$W$5,$W$6,$W$7), 100000)</f>
        <v>99.808858654626874</v>
      </c>
      <c r="K56" s="1">
        <f t="shared" si="7"/>
        <v>1.6958745383114409E-2</v>
      </c>
      <c r="L56">
        <f t="shared" si="3"/>
        <v>5.6443437235571992E-2</v>
      </c>
      <c r="M56">
        <f t="shared" si="4"/>
        <v>5.6443437235571992E-2</v>
      </c>
      <c r="N56">
        <f t="shared" si="5"/>
        <v>-2.1125461688559222E-4</v>
      </c>
      <c r="O56">
        <f t="shared" si="6"/>
        <v>2.1125461688559222E-4</v>
      </c>
      <c r="AD56">
        <f t="shared" si="8"/>
        <v>1.6913351612796723E-2</v>
      </c>
    </row>
    <row r="57" spans="1:30" x14ac:dyDescent="0.2">
      <c r="A57" s="2">
        <v>44074</v>
      </c>
      <c r="B57" s="3">
        <v>2.8191780821917809</v>
      </c>
      <c r="C57">
        <v>1.375E-2</v>
      </c>
      <c r="D57">
        <v>99.285788950276242</v>
      </c>
      <c r="E57">
        <v>1.729E-2</v>
      </c>
      <c r="G57" s="2">
        <f t="shared" si="0"/>
        <v>42978</v>
      </c>
      <c r="H57" s="2">
        <f t="shared" si="1"/>
        <v>43159</v>
      </c>
      <c r="I57">
        <f t="shared" si="2"/>
        <v>0.25448895027624308</v>
      </c>
      <c r="J57" s="1">
        <f>IFERROR(getBondPrice($A$1,A57,C57,100,$W$3,$W$4,$W$5,$W$6,$W$7), 100000)</f>
        <v>99.352034027268616</v>
      </c>
      <c r="K57" s="1">
        <f t="shared" si="7"/>
        <v>1.7044653846791446E-2</v>
      </c>
      <c r="L57">
        <f t="shared" si="3"/>
        <v>6.6245076992373697E-2</v>
      </c>
      <c r="M57">
        <f t="shared" si="4"/>
        <v>6.6245076992373697E-2</v>
      </c>
      <c r="N57">
        <f t="shared" si="5"/>
        <v>-2.4534615320855394E-4</v>
      </c>
      <c r="O57">
        <f t="shared" si="6"/>
        <v>2.4534615320855394E-4</v>
      </c>
      <c r="AD57">
        <f t="shared" si="8"/>
        <v>1.6976918937943425E-2</v>
      </c>
    </row>
    <row r="58" spans="1:30" x14ac:dyDescent="0.2">
      <c r="A58" s="2">
        <v>44089</v>
      </c>
      <c r="B58" s="3">
        <v>2.8602739726027395</v>
      </c>
      <c r="C58">
        <v>1.375E-2</v>
      </c>
      <c r="D58">
        <v>99.236613812154701</v>
      </c>
      <c r="E58">
        <v>1.721E-2</v>
      </c>
      <c r="G58" s="2">
        <f t="shared" si="0"/>
        <v>42993</v>
      </c>
      <c r="H58" s="2">
        <f t="shared" si="1"/>
        <v>43174</v>
      </c>
      <c r="I58">
        <f t="shared" si="2"/>
        <v>0.19751381215469613</v>
      </c>
      <c r="J58" s="1">
        <f>IFERROR(getBondPrice($A$1,A58,C58,100,$W$3,$W$4,$W$5,$W$6,$W$7), 100000)</f>
        <v>99.26654249790468</v>
      </c>
      <c r="K58" s="1">
        <f t="shared" si="7"/>
        <v>1.7101306824144468E-2</v>
      </c>
      <c r="L58">
        <f t="shared" si="3"/>
        <v>2.9928685749979422E-2</v>
      </c>
      <c r="M58">
        <f t="shared" si="4"/>
        <v>2.9928685749979422E-2</v>
      </c>
      <c r="N58">
        <f t="shared" si="5"/>
        <v>-1.0869317585553151E-4</v>
      </c>
      <c r="O58">
        <f t="shared" si="6"/>
        <v>1.0869317585553151E-4</v>
      </c>
      <c r="AD58">
        <f t="shared" si="8"/>
        <v>1.7036076351848419E-2</v>
      </c>
    </row>
    <row r="59" spans="1:30" x14ac:dyDescent="0.2">
      <c r="A59" s="2">
        <v>44104</v>
      </c>
      <c r="B59" s="3">
        <v>2.9013698630136986</v>
      </c>
      <c r="C59">
        <v>1.375E-2</v>
      </c>
      <c r="D59">
        <v>99.108566483516483</v>
      </c>
      <c r="E59">
        <v>1.7410000000000002E-2</v>
      </c>
      <c r="G59" s="2">
        <f t="shared" si="0"/>
        <v>43008</v>
      </c>
      <c r="H59" s="2">
        <f t="shared" si="1"/>
        <v>43190</v>
      </c>
      <c r="I59">
        <f t="shared" si="2"/>
        <v>0.13976648351648352</v>
      </c>
      <c r="J59" s="1">
        <f>IFERROR(getBondPrice($A$1,A59,C59,100,$W$3,$W$4,$W$5,$W$6,$W$7), 100000)</f>
        <v>99.180663205763295</v>
      </c>
      <c r="K59" s="1">
        <f t="shared" si="7"/>
        <v>1.7154561457239762E-2</v>
      </c>
      <c r="L59">
        <f t="shared" si="3"/>
        <v>7.2096722246811851E-2</v>
      </c>
      <c r="M59">
        <f t="shared" si="4"/>
        <v>7.2096722246811851E-2</v>
      </c>
      <c r="N59">
        <f t="shared" si="5"/>
        <v>-2.5543854276023972E-4</v>
      </c>
      <c r="O59">
        <f t="shared" si="6"/>
        <v>2.5543854276023972E-4</v>
      </c>
      <c r="AD59">
        <f t="shared" si="8"/>
        <v>1.7094813556952273E-2</v>
      </c>
    </row>
    <row r="60" spans="1:30" x14ac:dyDescent="0.2">
      <c r="A60" s="2">
        <v>44119</v>
      </c>
      <c r="B60" s="3">
        <v>2.9424657534246577</v>
      </c>
      <c r="C60">
        <v>1.6250000000000001E-2</v>
      </c>
      <c r="D60">
        <v>99.801314285714298</v>
      </c>
      <c r="E60">
        <v>1.729E-2</v>
      </c>
      <c r="G60" s="2">
        <f t="shared" si="0"/>
        <v>43023</v>
      </c>
      <c r="H60" s="2">
        <f t="shared" si="1"/>
        <v>43205</v>
      </c>
      <c r="I60">
        <f t="shared" si="2"/>
        <v>9.8214285714285712E-2</v>
      </c>
      <c r="J60" s="1">
        <f>IFERROR(getBondPrice($A$1,A60,C60,100,$W$3,$W$4,$W$5,$W$6,$W$7), 100000)</f>
        <v>99.824875097446323</v>
      </c>
      <c r="K60" s="1">
        <f t="shared" si="7"/>
        <v>1.7206277285770233E-2</v>
      </c>
      <c r="L60">
        <f t="shared" si="3"/>
        <v>2.35608117320254E-2</v>
      </c>
      <c r="M60">
        <f t="shared" si="4"/>
        <v>2.35608117320254E-2</v>
      </c>
      <c r="N60">
        <f t="shared" si="5"/>
        <v>-8.3722714229766959E-5</v>
      </c>
      <c r="O60">
        <f t="shared" si="6"/>
        <v>8.3722714229766959E-5</v>
      </c>
      <c r="AD60">
        <f t="shared" si="8"/>
        <v>1.7153133137161759E-2</v>
      </c>
    </row>
    <row r="61" spans="1:30" x14ac:dyDescent="0.2">
      <c r="A61" s="2">
        <v>44135</v>
      </c>
      <c r="B61" s="3">
        <v>2.9863013698630136</v>
      </c>
      <c r="C61">
        <v>1.375E-2</v>
      </c>
      <c r="D61">
        <v>98.936890055248625</v>
      </c>
      <c r="E61">
        <v>1.7500000000000002E-2</v>
      </c>
      <c r="G61" s="2">
        <f t="shared" si="0"/>
        <v>43039</v>
      </c>
      <c r="H61" s="2">
        <f t="shared" si="1"/>
        <v>43220</v>
      </c>
      <c r="I61">
        <f t="shared" si="2"/>
        <v>2.2790055248618785E-2</v>
      </c>
      <c r="J61" s="1">
        <f>IFERROR(getBondPrice($A$1,A61,C61,100,$W$3,$W$4,$W$5,$W$6,$W$7), 100000)</f>
        <v>99.0025560102697</v>
      </c>
      <c r="K61" s="1">
        <f t="shared" si="7"/>
        <v>1.7272958225097661E-2</v>
      </c>
      <c r="L61">
        <f t="shared" si="3"/>
        <v>6.5665955021074751E-2</v>
      </c>
      <c r="M61">
        <f t="shared" si="4"/>
        <v>6.5665955021074751E-2</v>
      </c>
      <c r="N61">
        <f t="shared" si="5"/>
        <v>-2.2704177490234095E-4</v>
      </c>
      <c r="O61">
        <f t="shared" si="6"/>
        <v>2.2704177490234095E-4</v>
      </c>
      <c r="AD61">
        <f t="shared" si="8"/>
        <v>1.7214883276435101E-2</v>
      </c>
    </row>
    <row r="62" spans="1:30" x14ac:dyDescent="0.2">
      <c r="A62" s="2">
        <v>44150</v>
      </c>
      <c r="B62" s="3">
        <v>3.0273972602739727</v>
      </c>
      <c r="C62">
        <v>2.6249999999999999E-2</v>
      </c>
      <c r="D62">
        <v>103.77960163043478</v>
      </c>
      <c r="E62">
        <v>1.762E-2</v>
      </c>
      <c r="G62" s="2">
        <f t="shared" si="0"/>
        <v>42870</v>
      </c>
      <c r="H62" s="2">
        <f t="shared" si="1"/>
        <v>43054</v>
      </c>
      <c r="I62">
        <f t="shared" si="2"/>
        <v>1.2483016304347827</v>
      </c>
      <c r="J62" s="1">
        <f>IFERROR(getBondPrice($A$1,A62,C62,100,$W$3,$W$4,$W$5,$W$6,$W$7), 100000)</f>
        <v>103.87398619609408</v>
      </c>
      <c r="K62" s="1">
        <f t="shared" si="7"/>
        <v>1.7300991234511343E-2</v>
      </c>
      <c r="L62">
        <f t="shared" si="3"/>
        <v>9.4384565659296982E-2</v>
      </c>
      <c r="M62">
        <f t="shared" si="4"/>
        <v>9.4384565659296982E-2</v>
      </c>
      <c r="N62">
        <f t="shared" si="5"/>
        <v>-3.1900876548865767E-4</v>
      </c>
      <c r="O62">
        <f t="shared" si="6"/>
        <v>3.1900876548865767E-4</v>
      </c>
      <c r="AD62">
        <f t="shared" si="8"/>
        <v>1.7272347920158897E-2</v>
      </c>
    </row>
    <row r="63" spans="1:30" x14ac:dyDescent="0.2">
      <c r="A63" s="2">
        <v>44165</v>
      </c>
      <c r="B63" s="3">
        <v>3.0684931506849313</v>
      </c>
      <c r="C63">
        <v>1.6250000000000001E-2</v>
      </c>
      <c r="D63">
        <v>100.26844262295081</v>
      </c>
      <c r="E63">
        <v>1.772E-2</v>
      </c>
      <c r="G63" s="2">
        <f t="shared" si="0"/>
        <v>42886</v>
      </c>
      <c r="H63" s="2">
        <f t="shared" si="1"/>
        <v>43069</v>
      </c>
      <c r="I63">
        <f t="shared" si="2"/>
        <v>0.70594262295081966</v>
      </c>
      <c r="J63" s="1">
        <f>IFERROR(getBondPrice($A$1,A63,C63,100,$W$3,$W$4,$W$5,$W$6,$W$7), 100000)</f>
        <v>100.36937315971831</v>
      </c>
      <c r="K63" s="1">
        <f t="shared" si="7"/>
        <v>1.7380823155894426E-2</v>
      </c>
      <c r="L63">
        <f t="shared" si="3"/>
        <v>0.10093053676749264</v>
      </c>
      <c r="M63">
        <f t="shared" si="4"/>
        <v>0.10093053676749264</v>
      </c>
      <c r="N63">
        <f t="shared" si="5"/>
        <v>-3.3917684410557369E-4</v>
      </c>
      <c r="O63">
        <f t="shared" si="6"/>
        <v>3.3917684410557369E-4</v>
      </c>
      <c r="AD63">
        <f t="shared" si="8"/>
        <v>1.7329402814846986E-2</v>
      </c>
    </row>
    <row r="64" spans="1:30" x14ac:dyDescent="0.2">
      <c r="A64" s="2">
        <v>44196</v>
      </c>
      <c r="B64" s="3">
        <v>3.1534246575342464</v>
      </c>
      <c r="C64">
        <v>1.7500000000000002E-2</v>
      </c>
      <c r="D64">
        <v>100.50405108695652</v>
      </c>
      <c r="E64">
        <v>1.7860000000000001E-2</v>
      </c>
      <c r="G64" s="2">
        <f t="shared" si="0"/>
        <v>42916</v>
      </c>
      <c r="H64" s="2">
        <f t="shared" si="1"/>
        <v>43100</v>
      </c>
      <c r="I64">
        <f t="shared" si="2"/>
        <v>0.61345108695652184</v>
      </c>
      <c r="J64" s="1">
        <f>IFERROR(getBondPrice($A$1,A64,C64,100,$W$3,$W$4,$W$5,$W$6,$W$7), 100000)</f>
        <v>100.61316081637257</v>
      </c>
      <c r="K64" s="1">
        <f t="shared" si="7"/>
        <v>1.7498332272195646E-2</v>
      </c>
      <c r="L64">
        <f t="shared" si="3"/>
        <v>0.10910972941604768</v>
      </c>
      <c r="M64">
        <f t="shared" si="4"/>
        <v>0.10910972941604768</v>
      </c>
      <c r="N64">
        <f t="shared" si="5"/>
        <v>-3.6166772780435452E-4</v>
      </c>
      <c r="O64">
        <f t="shared" si="6"/>
        <v>3.6166772780435452E-4</v>
      </c>
      <c r="AD64">
        <f t="shared" si="8"/>
        <v>1.7446028770491846E-2</v>
      </c>
    </row>
    <row r="65" spans="1:30" x14ac:dyDescent="0.2">
      <c r="A65" s="2">
        <v>44227</v>
      </c>
      <c r="B65" s="3">
        <v>3.2383561643835614</v>
      </c>
      <c r="C65">
        <v>1.375E-2</v>
      </c>
      <c r="D65">
        <v>99.038068478260868</v>
      </c>
      <c r="E65">
        <v>1.7989999999999999E-2</v>
      </c>
      <c r="G65" s="2">
        <f t="shared" si="0"/>
        <v>42947</v>
      </c>
      <c r="H65" s="2">
        <f t="shared" si="1"/>
        <v>43131</v>
      </c>
      <c r="I65">
        <f t="shared" si="2"/>
        <v>0.36616847826086957</v>
      </c>
      <c r="J65" s="1">
        <f>IFERROR(getBondPrice($A$1,A65,C65,100,$W$3,$W$4,$W$5,$W$6,$W$7), 100000)</f>
        <v>99.152392077239057</v>
      </c>
      <c r="K65" s="1">
        <f t="shared" si="7"/>
        <v>1.7625622718178975E-2</v>
      </c>
      <c r="L65">
        <f t="shared" si="3"/>
        <v>0.11432359897818856</v>
      </c>
      <c r="M65">
        <f t="shared" si="4"/>
        <v>0.11432359897818856</v>
      </c>
      <c r="N65">
        <f t="shared" si="5"/>
        <v>-3.6437728182102391E-4</v>
      </c>
      <c r="O65">
        <f t="shared" si="6"/>
        <v>3.6437728182102391E-4</v>
      </c>
      <c r="AD65">
        <f t="shared" si="8"/>
        <v>1.756093796217283E-2</v>
      </c>
    </row>
    <row r="66" spans="1:30" x14ac:dyDescent="0.2">
      <c r="A66" s="2">
        <v>44242</v>
      </c>
      <c r="B66" s="3">
        <v>3.2794520547945205</v>
      </c>
      <c r="C66">
        <v>3.6249999999999998E-2</v>
      </c>
      <c r="D66">
        <v>106.65349510869565</v>
      </c>
      <c r="E66">
        <v>1.7819999999999999E-2</v>
      </c>
      <c r="G66" s="2">
        <f t="shared" si="0"/>
        <v>42962</v>
      </c>
      <c r="H66" s="2">
        <f t="shared" si="1"/>
        <v>43146</v>
      </c>
      <c r="I66">
        <f t="shared" si="2"/>
        <v>0.817595108695652</v>
      </c>
      <c r="J66" s="1">
        <f>IFERROR(getBondPrice($A$1,A66,C66,100,$W$3,$W$4,$W$5,$W$6,$W$7), 100000)</f>
        <v>106.71726792239087</v>
      </c>
      <c r="K66" s="1">
        <f t="shared" si="7"/>
        <v>1.7622457567214915E-2</v>
      </c>
      <c r="L66">
        <f t="shared" si="3"/>
        <v>6.3772813695223363E-2</v>
      </c>
      <c r="M66">
        <f t="shared" si="4"/>
        <v>6.3772813695223363E-2</v>
      </c>
      <c r="N66">
        <f t="shared" si="5"/>
        <v>-1.9754243278508402E-4</v>
      </c>
      <c r="O66">
        <f t="shared" si="6"/>
        <v>1.9754243278508402E-4</v>
      </c>
      <c r="AD66">
        <f t="shared" si="8"/>
        <v>1.7615929493474312E-2</v>
      </c>
    </row>
    <row r="67" spans="1:30" x14ac:dyDescent="0.2">
      <c r="A67" s="2">
        <v>44255</v>
      </c>
      <c r="B67" s="3">
        <v>3.3150684931506849</v>
      </c>
      <c r="C67">
        <v>1.125E-2</v>
      </c>
      <c r="D67">
        <v>98.0129182320442</v>
      </c>
      <c r="E67">
        <v>1.8100000000000002E-2</v>
      </c>
      <c r="G67" s="2">
        <f t="shared" ref="G67:G130" si="9">COUPPCD($A$1,A67,2,1)</f>
        <v>42978</v>
      </c>
      <c r="H67" s="2">
        <f t="shared" ref="H67:H130" si="10">COUPNCD($A$1,A67,2,1)</f>
        <v>43159</v>
      </c>
      <c r="I67">
        <f t="shared" ref="I67:I130" si="11">100*C67/2*($A$1-G67)/(H67-G67)</f>
        <v>0.2082182320441989</v>
      </c>
      <c r="J67" s="1">
        <f>IFERROR(getBondPrice($A$1,A67,C67,100,$W$3,$W$4,$W$5,$W$6,$W$7), 100000)</f>
        <v>98.136660659559112</v>
      </c>
      <c r="K67" s="1">
        <f t="shared" ref="K67:K130" si="12">IFERROR(YIELD($A$1,A67,C67,J67-I67,100,2,1),-2)</f>
        <v>1.7710249985952838E-2</v>
      </c>
      <c r="L67">
        <f t="shared" ref="L67:L130" si="13">J67-D67</f>
        <v>0.12374242751491238</v>
      </c>
      <c r="M67">
        <f t="shared" ref="M67:M130" si="14">ABS(L67)</f>
        <v>0.12374242751491238</v>
      </c>
      <c r="N67">
        <f t="shared" ref="N67:N130" si="15">K67-E67</f>
        <v>-3.8975001404716395E-4</v>
      </c>
      <c r="O67">
        <f t="shared" ref="O67:O130" si="16">ABS(N67)</f>
        <v>3.8975001404716395E-4</v>
      </c>
      <c r="AD67">
        <f t="shared" si="8"/>
        <v>1.7663269854285797E-2</v>
      </c>
    </row>
    <row r="68" spans="1:30" x14ac:dyDescent="0.2">
      <c r="A68" s="2">
        <v>44286</v>
      </c>
      <c r="B68" s="3">
        <v>3.4</v>
      </c>
      <c r="C68">
        <v>1.2500000000000001E-2</v>
      </c>
      <c r="D68">
        <v>98.252060439560438</v>
      </c>
      <c r="E68">
        <v>1.821E-2</v>
      </c>
      <c r="G68" s="2">
        <f t="shared" si="9"/>
        <v>43008</v>
      </c>
      <c r="H68" s="2">
        <f t="shared" si="10"/>
        <v>43190</v>
      </c>
      <c r="I68">
        <f t="shared" si="11"/>
        <v>0.12706043956043955</v>
      </c>
      <c r="J68" s="1">
        <f>IFERROR(getBondPrice($A$1,A68,C68,100,$W$3,$W$4,$W$5,$W$6,$W$7), 100000)</f>
        <v>98.377950571071025</v>
      </c>
      <c r="K68" s="1">
        <f t="shared" si="12"/>
        <v>1.7825937225646134E-2</v>
      </c>
      <c r="L68">
        <f t="shared" si="13"/>
        <v>0.12589013151058737</v>
      </c>
      <c r="M68">
        <f t="shared" si="14"/>
        <v>0.12589013151058737</v>
      </c>
      <c r="N68">
        <f t="shared" si="15"/>
        <v>-3.8406277435386674E-4</v>
      </c>
      <c r="O68">
        <f t="shared" si="16"/>
        <v>3.8406277435386674E-4</v>
      </c>
      <c r="AD68">
        <f t="shared" ref="AD68:AD131" si="17">spotRate($A$1,A68,$W$3,$W$4,$W$5,$W$6,$W$7)</f>
        <v>1.777497310938312E-2</v>
      </c>
    </row>
    <row r="69" spans="1:30" x14ac:dyDescent="0.2">
      <c r="A69" s="2">
        <v>44316</v>
      </c>
      <c r="B69" s="3">
        <v>3.4821917808219176</v>
      </c>
      <c r="C69">
        <v>1.375E-2</v>
      </c>
      <c r="D69">
        <v>98.507190055248614</v>
      </c>
      <c r="E69">
        <v>1.8260000000000002E-2</v>
      </c>
      <c r="G69" s="2">
        <f t="shared" si="9"/>
        <v>43039</v>
      </c>
      <c r="H69" s="2">
        <f t="shared" si="10"/>
        <v>43220</v>
      </c>
      <c r="I69">
        <f t="shared" si="11"/>
        <v>2.2790055248618785E-2</v>
      </c>
      <c r="J69" s="1">
        <f>IFERROR(getBondPrice($A$1,A69,C69,100,$W$3,$W$4,$W$5,$W$6,$W$7), 100000)</f>
        <v>98.622743284342988</v>
      </c>
      <c r="K69" s="1">
        <f t="shared" si="12"/>
        <v>1.7913544892941613E-2</v>
      </c>
      <c r="L69">
        <f t="shared" si="13"/>
        <v>0.11555322909437393</v>
      </c>
      <c r="M69">
        <f t="shared" si="14"/>
        <v>0.11555322909437393</v>
      </c>
      <c r="N69">
        <f t="shared" si="15"/>
        <v>-3.4645510705838892E-4</v>
      </c>
      <c r="O69">
        <f t="shared" si="16"/>
        <v>3.4645510705838892E-4</v>
      </c>
      <c r="AD69">
        <f t="shared" si="17"/>
        <v>1.7881499454695447E-2</v>
      </c>
    </row>
    <row r="70" spans="1:30" x14ac:dyDescent="0.2">
      <c r="A70" s="2">
        <v>44331</v>
      </c>
      <c r="B70" s="3">
        <v>3.5232876712328767</v>
      </c>
      <c r="C70">
        <v>3.125E-2</v>
      </c>
      <c r="D70">
        <v>105.95487336956522</v>
      </c>
      <c r="E70">
        <v>1.8100000000000002E-2</v>
      </c>
      <c r="G70" s="2">
        <f t="shared" si="9"/>
        <v>42870</v>
      </c>
      <c r="H70" s="2">
        <f t="shared" si="10"/>
        <v>43054</v>
      </c>
      <c r="I70">
        <f t="shared" si="11"/>
        <v>1.4860733695652173</v>
      </c>
      <c r="J70" s="1">
        <f>IFERROR(getBondPrice($A$1,A70,C70,100,$W$3,$W$4,$W$5,$W$6,$W$7), 100000)</f>
        <v>106.02055154257192</v>
      </c>
      <c r="K70" s="1">
        <f t="shared" si="12"/>
        <v>1.7915318024288102E-2</v>
      </c>
      <c r="L70">
        <f t="shared" si="13"/>
        <v>6.5678173006702423E-2</v>
      </c>
      <c r="M70">
        <f t="shared" si="14"/>
        <v>6.5678173006702423E-2</v>
      </c>
      <c r="N70">
        <f t="shared" si="15"/>
        <v>-1.846819757118992E-4</v>
      </c>
      <c r="O70">
        <f t="shared" si="16"/>
        <v>1.846819757118992E-4</v>
      </c>
      <c r="AD70">
        <f t="shared" si="17"/>
        <v>1.7934188493446839E-2</v>
      </c>
    </row>
    <row r="71" spans="1:30" x14ac:dyDescent="0.2">
      <c r="A71" s="2">
        <v>44347</v>
      </c>
      <c r="B71" s="3">
        <v>3.5671232876712327</v>
      </c>
      <c r="C71">
        <v>1.375E-2</v>
      </c>
      <c r="D71">
        <v>99.003636065573772</v>
      </c>
      <c r="E71">
        <v>1.839E-2</v>
      </c>
      <c r="G71" s="2">
        <f t="shared" si="9"/>
        <v>42886</v>
      </c>
      <c r="H71" s="2">
        <f t="shared" si="10"/>
        <v>43069</v>
      </c>
      <c r="I71">
        <f t="shared" si="11"/>
        <v>0.5973360655737705</v>
      </c>
      <c r="J71" s="1">
        <f>IFERROR(getBondPrice($A$1,A71,C71,100,$W$3,$W$4,$W$5,$W$6,$W$7), 100000)</f>
        <v>99.1235389428156</v>
      </c>
      <c r="K71" s="1">
        <f t="shared" si="12"/>
        <v>1.8035313039046444E-2</v>
      </c>
      <c r="L71">
        <f t="shared" si="13"/>
        <v>0.11990287724182735</v>
      </c>
      <c r="M71">
        <f t="shared" si="14"/>
        <v>0.11990287724182735</v>
      </c>
      <c r="N71">
        <f t="shared" si="15"/>
        <v>-3.546869609535562E-4</v>
      </c>
      <c r="O71">
        <f t="shared" si="16"/>
        <v>3.546869609535562E-4</v>
      </c>
      <c r="AD71">
        <f t="shared" si="17"/>
        <v>1.7989971941550911E-2</v>
      </c>
    </row>
    <row r="72" spans="1:30" x14ac:dyDescent="0.2">
      <c r="A72" s="2">
        <v>44377</v>
      </c>
      <c r="B72" s="3">
        <v>3.6493150684931508</v>
      </c>
      <c r="C72">
        <v>1.125E-2</v>
      </c>
      <c r="D72">
        <v>97.839661413043487</v>
      </c>
      <c r="E72">
        <v>1.8520000000000002E-2</v>
      </c>
      <c r="G72" s="2">
        <f t="shared" si="9"/>
        <v>42916</v>
      </c>
      <c r="H72" s="2">
        <f t="shared" si="10"/>
        <v>43100</v>
      </c>
      <c r="I72">
        <f t="shared" si="11"/>
        <v>0.39436141304347827</v>
      </c>
      <c r="J72" s="1">
        <f>IFERROR(getBondPrice($A$1,A72,C72,100,$W$3,$W$4,$W$5,$W$6,$W$7), 100000)</f>
        <v>97.972283135554918</v>
      </c>
      <c r="K72" s="1">
        <f t="shared" si="12"/>
        <v>1.8137416449000719E-2</v>
      </c>
      <c r="L72">
        <f t="shared" si="13"/>
        <v>0.13262172251143056</v>
      </c>
      <c r="M72">
        <f t="shared" si="14"/>
        <v>0.13262172251143056</v>
      </c>
      <c r="N72">
        <f t="shared" si="15"/>
        <v>-3.8258355099928323E-4</v>
      </c>
      <c r="O72">
        <f t="shared" si="16"/>
        <v>3.8258355099928323E-4</v>
      </c>
      <c r="AD72">
        <f t="shared" si="17"/>
        <v>1.8093412599983698E-2</v>
      </c>
    </row>
    <row r="73" spans="1:30" x14ac:dyDescent="0.2">
      <c r="A73" s="2">
        <v>44408</v>
      </c>
      <c r="B73" s="3">
        <v>3.7342465753424658</v>
      </c>
      <c r="C73">
        <v>1.125E-2</v>
      </c>
      <c r="D73">
        <v>97.643392391304346</v>
      </c>
      <c r="E73">
        <v>1.865E-2</v>
      </c>
      <c r="G73" s="2">
        <f t="shared" si="9"/>
        <v>42947</v>
      </c>
      <c r="H73" s="2">
        <f t="shared" si="10"/>
        <v>43131</v>
      </c>
      <c r="I73">
        <f t="shared" si="11"/>
        <v>0.29959239130434784</v>
      </c>
      <c r="J73" s="1">
        <f>IFERROR(getBondPrice($A$1,A73,C73,100,$W$3,$W$4,$W$5,$W$6,$W$7), 100000)</f>
        <v>97.785017733956579</v>
      </c>
      <c r="K73" s="1">
        <f t="shared" si="12"/>
        <v>1.8245712177427088E-2</v>
      </c>
      <c r="L73">
        <f t="shared" si="13"/>
        <v>0.14162534265223314</v>
      </c>
      <c r="M73">
        <f t="shared" si="14"/>
        <v>0.14162534265223314</v>
      </c>
      <c r="N73">
        <f t="shared" si="15"/>
        <v>-4.0428782257291226E-4</v>
      </c>
      <c r="O73">
        <f t="shared" si="16"/>
        <v>4.0428782257291226E-4</v>
      </c>
      <c r="AD73">
        <f t="shared" si="17"/>
        <v>1.8198738499236904E-2</v>
      </c>
    </row>
    <row r="74" spans="1:30" x14ac:dyDescent="0.2">
      <c r="A74" s="2">
        <v>44423</v>
      </c>
      <c r="B74" s="3">
        <v>3.7753424657534245</v>
      </c>
      <c r="C74">
        <v>2.1250000000000002E-2</v>
      </c>
      <c r="D74">
        <v>101.42457989130435</v>
      </c>
      <c r="E74">
        <v>1.864E-2</v>
      </c>
      <c r="G74" s="2">
        <f t="shared" si="9"/>
        <v>42962</v>
      </c>
      <c r="H74" s="2">
        <f t="shared" si="10"/>
        <v>43146</v>
      </c>
      <c r="I74">
        <f t="shared" si="11"/>
        <v>0.47927989130434784</v>
      </c>
      <c r="J74" s="1">
        <f>IFERROR(getBondPrice($A$1,A74,C74,100,$W$3,$W$4,$W$5,$W$6,$W$7), 100000)</f>
        <v>101.56236349669656</v>
      </c>
      <c r="K74" s="1">
        <f t="shared" si="12"/>
        <v>1.8264077561236942E-2</v>
      </c>
      <c r="L74">
        <f t="shared" si="13"/>
        <v>0.13778360539221524</v>
      </c>
      <c r="M74">
        <f t="shared" si="14"/>
        <v>0.13778360539221524</v>
      </c>
      <c r="N74">
        <f t="shared" si="15"/>
        <v>-3.7592243876305789E-4</v>
      </c>
      <c r="O74">
        <f t="shared" si="16"/>
        <v>3.7592243876305789E-4</v>
      </c>
      <c r="AD74">
        <f t="shared" si="17"/>
        <v>1.8249138708592485E-2</v>
      </c>
    </row>
    <row r="75" spans="1:30" x14ac:dyDescent="0.2">
      <c r="A75" s="2">
        <v>44439</v>
      </c>
      <c r="B75" s="3">
        <v>3.8191780821917809</v>
      </c>
      <c r="C75">
        <v>1.125E-2</v>
      </c>
      <c r="D75">
        <v>97.4504182320442</v>
      </c>
      <c r="E75">
        <v>1.8769999999999998E-2</v>
      </c>
      <c r="G75" s="2">
        <f t="shared" si="9"/>
        <v>42978</v>
      </c>
      <c r="H75" s="2">
        <f t="shared" si="10"/>
        <v>43159</v>
      </c>
      <c r="I75">
        <f t="shared" si="11"/>
        <v>0.2082182320441989</v>
      </c>
      <c r="J75" s="1">
        <f>IFERROR(getBondPrice($A$1,A75,C75,100,$W$3,$W$4,$W$5,$W$6,$W$7), 100000)</f>
        <v>97.597203014826178</v>
      </c>
      <c r="K75" s="1">
        <f t="shared" si="12"/>
        <v>1.8366533601656711E-2</v>
      </c>
      <c r="L75">
        <f t="shared" si="13"/>
        <v>0.14678478278197815</v>
      </c>
      <c r="M75">
        <f t="shared" si="14"/>
        <v>0.14678478278197815</v>
      </c>
      <c r="N75">
        <f t="shared" si="15"/>
        <v>-4.0346639834328707E-4</v>
      </c>
      <c r="O75">
        <f t="shared" si="16"/>
        <v>4.0346639834328707E-4</v>
      </c>
      <c r="AD75">
        <f t="shared" si="17"/>
        <v>1.8302497229879058E-2</v>
      </c>
    </row>
    <row r="76" spans="1:30" x14ac:dyDescent="0.2">
      <c r="A76" s="2">
        <v>44469</v>
      </c>
      <c r="B76" s="3">
        <v>3.9013698630136986</v>
      </c>
      <c r="C76">
        <v>1.125E-2</v>
      </c>
      <c r="D76">
        <v>97.270654395604396</v>
      </c>
      <c r="E76">
        <v>1.8849999999999999E-2</v>
      </c>
      <c r="G76" s="2">
        <f t="shared" si="9"/>
        <v>43008</v>
      </c>
      <c r="H76" s="2">
        <f t="shared" si="10"/>
        <v>43190</v>
      </c>
      <c r="I76">
        <f t="shared" si="11"/>
        <v>0.1143543956043956</v>
      </c>
      <c r="J76" s="1">
        <f>IFERROR(getBondPrice($A$1,A76,C76,100,$W$3,$W$4,$W$5,$W$6,$W$7), 100000)</f>
        <v>97.414292233338912</v>
      </c>
      <c r="K76" s="1">
        <f t="shared" si="12"/>
        <v>1.8459139878794589E-2</v>
      </c>
      <c r="L76">
        <f t="shared" si="13"/>
        <v>0.14363783773451644</v>
      </c>
      <c r="M76">
        <f t="shared" si="14"/>
        <v>0.14363783773451644</v>
      </c>
      <c r="N76">
        <f t="shared" si="15"/>
        <v>-3.9086012120541011E-4</v>
      </c>
      <c r="O76">
        <f t="shared" si="16"/>
        <v>3.9086012120541011E-4</v>
      </c>
      <c r="AD76">
        <f t="shared" si="17"/>
        <v>1.840143683655035E-2</v>
      </c>
    </row>
    <row r="77" spans="1:30" x14ac:dyDescent="0.2">
      <c r="A77" s="2">
        <v>44500</v>
      </c>
      <c r="B77" s="3">
        <v>3.9863013698630136</v>
      </c>
      <c r="C77">
        <v>1.2500000000000001E-2</v>
      </c>
      <c r="D77">
        <v>97.5754182320442</v>
      </c>
      <c r="E77">
        <v>1.89E-2</v>
      </c>
      <c r="G77" s="2">
        <f t="shared" si="9"/>
        <v>43039</v>
      </c>
      <c r="H77" s="2">
        <f t="shared" si="10"/>
        <v>43220</v>
      </c>
      <c r="I77">
        <f t="shared" si="11"/>
        <v>2.0718232044198894E-2</v>
      </c>
      <c r="J77" s="1">
        <f>IFERROR(getBondPrice($A$1,A77,C77,100,$W$3,$W$4,$W$5,$W$6,$W$7), 100000)</f>
        <v>97.706398943539028</v>
      </c>
      <c r="K77" s="1">
        <f t="shared" si="12"/>
        <v>1.855386818993552E-2</v>
      </c>
      <c r="L77">
        <f t="shared" si="13"/>
        <v>0.13098071149482848</v>
      </c>
      <c r="M77">
        <f t="shared" si="14"/>
        <v>0.13098071149482848</v>
      </c>
      <c r="N77">
        <f t="shared" si="15"/>
        <v>-3.4613181006448029E-4</v>
      </c>
      <c r="O77">
        <f t="shared" si="16"/>
        <v>3.4613181006448029E-4</v>
      </c>
      <c r="AD77">
        <f t="shared" si="17"/>
        <v>1.8502173911726819E-2</v>
      </c>
    </row>
    <row r="78" spans="1:30" x14ac:dyDescent="0.2">
      <c r="A78" s="2">
        <v>44515</v>
      </c>
      <c r="B78" s="3">
        <v>4.0273972602739727</v>
      </c>
      <c r="C78">
        <v>0.02</v>
      </c>
      <c r="D78">
        <v>101.41198695652173</v>
      </c>
      <c r="E78">
        <v>1.881E-2</v>
      </c>
      <c r="G78" s="2">
        <f t="shared" si="9"/>
        <v>42870</v>
      </c>
      <c r="H78" s="2">
        <f t="shared" si="10"/>
        <v>43054</v>
      </c>
      <c r="I78">
        <f t="shared" si="11"/>
        <v>0.95108695652173914</v>
      </c>
      <c r="J78" s="1">
        <f>IFERROR(getBondPrice($A$1,A78,C78,100,$W$3,$W$4,$W$5,$W$6,$W$7), 100000)</f>
        <v>101.50131976050234</v>
      </c>
      <c r="K78" s="1">
        <f t="shared" si="12"/>
        <v>1.8574146476860377E-2</v>
      </c>
      <c r="L78">
        <f t="shared" si="13"/>
        <v>8.933280398061072E-2</v>
      </c>
      <c r="M78">
        <f t="shared" si="14"/>
        <v>8.933280398061072E-2</v>
      </c>
      <c r="N78">
        <f t="shared" si="15"/>
        <v>-2.3585352313962304E-4</v>
      </c>
      <c r="O78">
        <f t="shared" si="16"/>
        <v>2.3585352313962304E-4</v>
      </c>
      <c r="AD78">
        <f t="shared" si="17"/>
        <v>1.855037631858239E-2</v>
      </c>
    </row>
    <row r="79" spans="1:30" x14ac:dyDescent="0.2">
      <c r="A79" s="2">
        <v>44530</v>
      </c>
      <c r="B79" s="3">
        <v>4.0684931506849313</v>
      </c>
      <c r="C79">
        <v>1.7500000000000002E-2</v>
      </c>
      <c r="D79">
        <v>100.15864590163935</v>
      </c>
      <c r="E79">
        <v>1.9039999999999998E-2</v>
      </c>
      <c r="G79" s="2">
        <f t="shared" si="9"/>
        <v>42886</v>
      </c>
      <c r="H79" s="2">
        <f t="shared" si="10"/>
        <v>43069</v>
      </c>
      <c r="I79">
        <f t="shared" si="11"/>
        <v>0.76024590163934447</v>
      </c>
      <c r="J79" s="1">
        <f>IFERROR(getBondPrice($A$1,A79,C79,100,$W$3,$W$4,$W$5,$W$6,$W$7), 100000)</f>
        <v>100.31910722321753</v>
      </c>
      <c r="K79" s="1">
        <f t="shared" si="12"/>
        <v>1.8630527188898672E-2</v>
      </c>
      <c r="L79">
        <f t="shared" si="13"/>
        <v>0.16046132157818249</v>
      </c>
      <c r="M79">
        <f t="shared" si="14"/>
        <v>0.16046132157818249</v>
      </c>
      <c r="N79">
        <f t="shared" si="15"/>
        <v>-4.09472811101326E-4</v>
      </c>
      <c r="O79">
        <f t="shared" si="16"/>
        <v>4.09472811101326E-4</v>
      </c>
      <c r="AD79">
        <f t="shared" si="17"/>
        <v>1.8598228896913684E-2</v>
      </c>
    </row>
    <row r="80" spans="1:30" x14ac:dyDescent="0.2">
      <c r="A80" s="2">
        <v>44561</v>
      </c>
      <c r="B80" s="3">
        <v>4.1534246575342468</v>
      </c>
      <c r="C80">
        <v>0.02</v>
      </c>
      <c r="D80">
        <v>101.02918695652174</v>
      </c>
      <c r="E80">
        <v>1.917E-2</v>
      </c>
      <c r="G80" s="2">
        <f t="shared" si="9"/>
        <v>42916</v>
      </c>
      <c r="H80" s="2">
        <f t="shared" si="10"/>
        <v>43100</v>
      </c>
      <c r="I80">
        <f t="shared" si="11"/>
        <v>0.70108695652173914</v>
      </c>
      <c r="J80" s="1">
        <f>IFERROR(getBondPrice($A$1,A80,C80,100,$W$3,$W$4,$W$5,$W$6,$W$7), 100000)</f>
        <v>101.20830998271727</v>
      </c>
      <c r="K80" s="1">
        <f t="shared" si="12"/>
        <v>1.8721354275861041E-2</v>
      </c>
      <c r="L80">
        <f t="shared" si="13"/>
        <v>0.17912302619552634</v>
      </c>
      <c r="M80">
        <f t="shared" si="14"/>
        <v>0.17912302619552634</v>
      </c>
      <c r="N80">
        <f t="shared" si="15"/>
        <v>-4.4864572413895812E-4</v>
      </c>
      <c r="O80">
        <f t="shared" si="16"/>
        <v>4.4864572413895812E-4</v>
      </c>
      <c r="AD80">
        <f t="shared" si="17"/>
        <v>1.8696025806861628E-2</v>
      </c>
    </row>
    <row r="81" spans="1:30" x14ac:dyDescent="0.2">
      <c r="A81" s="2">
        <v>44592</v>
      </c>
      <c r="B81" s="3">
        <v>4.2383561643835614</v>
      </c>
      <c r="C81">
        <v>1.4999999999999999E-2</v>
      </c>
      <c r="D81">
        <v>98.672856521739121</v>
      </c>
      <c r="E81">
        <v>1.9259999999999999E-2</v>
      </c>
      <c r="G81" s="2">
        <f t="shared" si="9"/>
        <v>42947</v>
      </c>
      <c r="H81" s="2">
        <f t="shared" si="10"/>
        <v>43131</v>
      </c>
      <c r="I81">
        <f t="shared" si="11"/>
        <v>0.39945652173913043</v>
      </c>
      <c r="J81" s="1">
        <f>IFERROR(getBondPrice($A$1,A81,C81,100,$W$3,$W$4,$W$5,$W$6,$W$7), 100000)</f>
        <v>98.84344918186099</v>
      </c>
      <c r="K81" s="1">
        <f t="shared" si="12"/>
        <v>1.8838921729768428E-2</v>
      </c>
      <c r="L81">
        <f t="shared" si="13"/>
        <v>0.17059266012186924</v>
      </c>
      <c r="M81">
        <f t="shared" si="14"/>
        <v>0.17059266012186924</v>
      </c>
      <c r="N81">
        <f t="shared" si="15"/>
        <v>-4.2107827023157157E-4</v>
      </c>
      <c r="O81">
        <f t="shared" si="16"/>
        <v>4.2107827023157157E-4</v>
      </c>
      <c r="AD81">
        <f t="shared" si="17"/>
        <v>1.8792359420328263E-2</v>
      </c>
    </row>
    <row r="82" spans="1:30" x14ac:dyDescent="0.2">
      <c r="A82" s="2">
        <v>44607</v>
      </c>
      <c r="B82" s="3">
        <v>4.279452054794521</v>
      </c>
      <c r="C82">
        <v>0.02</v>
      </c>
      <c r="D82">
        <v>100.79488695652174</v>
      </c>
      <c r="E82">
        <v>1.916E-2</v>
      </c>
      <c r="G82" s="2">
        <f t="shared" si="9"/>
        <v>42962</v>
      </c>
      <c r="H82" s="2">
        <f t="shared" si="10"/>
        <v>43146</v>
      </c>
      <c r="I82">
        <f t="shared" si="11"/>
        <v>0.45108695652173914</v>
      </c>
      <c r="J82" s="1">
        <f>IFERROR(getBondPrice($A$1,A82,C82,100,$W$3,$W$4,$W$5,$W$6,$W$7), 100000)</f>
        <v>100.91365111089982</v>
      </c>
      <c r="K82" s="1">
        <f t="shared" si="12"/>
        <v>1.886568571223305E-2</v>
      </c>
      <c r="L82">
        <f t="shared" si="13"/>
        <v>0.11876415437808419</v>
      </c>
      <c r="M82">
        <f t="shared" si="14"/>
        <v>0.11876415437808419</v>
      </c>
      <c r="N82">
        <f t="shared" si="15"/>
        <v>-2.9431428776694954E-4</v>
      </c>
      <c r="O82">
        <f t="shared" si="16"/>
        <v>2.9431428776694954E-4</v>
      </c>
      <c r="AD82">
        <f t="shared" si="17"/>
        <v>1.8838453271009033E-2</v>
      </c>
    </row>
    <row r="83" spans="1:30" x14ac:dyDescent="0.2">
      <c r="A83" s="2">
        <v>44620</v>
      </c>
      <c r="B83" s="3">
        <v>4.3150684931506849</v>
      </c>
      <c r="C83">
        <v>1.7500000000000002E-2</v>
      </c>
      <c r="D83">
        <v>99.550495027624308</v>
      </c>
      <c r="E83">
        <v>1.9379999999999998E-2</v>
      </c>
      <c r="G83" s="2">
        <f t="shared" si="9"/>
        <v>42978</v>
      </c>
      <c r="H83" s="2">
        <f t="shared" si="10"/>
        <v>43159</v>
      </c>
      <c r="I83">
        <f t="shared" si="11"/>
        <v>0.32389502762430944</v>
      </c>
      <c r="J83" s="1">
        <f>IFERROR(getBondPrice($A$1,A83,C83,100,$W$3,$W$4,$W$5,$W$6,$W$7), 100000)</f>
        <v>99.747867069952477</v>
      </c>
      <c r="K83" s="1">
        <f t="shared" si="12"/>
        <v>1.8894094054595637E-2</v>
      </c>
      <c r="L83">
        <f t="shared" si="13"/>
        <v>0.19737204232816907</v>
      </c>
      <c r="M83">
        <f t="shared" si="14"/>
        <v>0.19737204232816907</v>
      </c>
      <c r="N83">
        <f t="shared" si="15"/>
        <v>-4.8590594540436072E-4</v>
      </c>
      <c r="O83">
        <f t="shared" si="16"/>
        <v>4.8590594540436072E-4</v>
      </c>
      <c r="AD83">
        <f t="shared" si="17"/>
        <v>1.887812985274492E-2</v>
      </c>
    </row>
    <row r="84" spans="1:30" x14ac:dyDescent="0.2">
      <c r="A84" s="2">
        <v>44651</v>
      </c>
      <c r="B84" s="3">
        <v>4.4000000000000004</v>
      </c>
      <c r="C84">
        <v>1.7500000000000002E-2</v>
      </c>
      <c r="D84">
        <v>99.334184615384615</v>
      </c>
      <c r="E84">
        <v>1.951E-2</v>
      </c>
      <c r="G84" s="2">
        <f t="shared" si="9"/>
        <v>43008</v>
      </c>
      <c r="H84" s="2">
        <f t="shared" si="10"/>
        <v>43190</v>
      </c>
      <c r="I84">
        <f t="shared" si="11"/>
        <v>0.17788461538461542</v>
      </c>
      <c r="J84" s="1">
        <f>IFERROR(getBondPrice($A$1,A84,C84,100,$W$3,$W$4,$W$5,$W$6,$W$7), 100000)</f>
        <v>99.550084181346648</v>
      </c>
      <c r="K84" s="1">
        <f t="shared" si="12"/>
        <v>1.8992972734413804E-2</v>
      </c>
      <c r="L84">
        <f t="shared" si="13"/>
        <v>0.21589956596203308</v>
      </c>
      <c r="M84">
        <f t="shared" si="14"/>
        <v>0.21589956596203308</v>
      </c>
      <c r="N84">
        <f t="shared" si="15"/>
        <v>-5.1702726558619516E-4</v>
      </c>
      <c r="O84">
        <f t="shared" si="16"/>
        <v>5.1702726558619516E-4</v>
      </c>
      <c r="AD84">
        <f t="shared" si="17"/>
        <v>1.8971735355924082E-2</v>
      </c>
    </row>
    <row r="85" spans="1:30" x14ac:dyDescent="0.2">
      <c r="A85" s="2">
        <v>44681</v>
      </c>
      <c r="B85" s="3">
        <v>4.4821917808219176</v>
      </c>
      <c r="C85">
        <v>1.7500000000000002E-2</v>
      </c>
      <c r="D85">
        <v>99.130605524861878</v>
      </c>
      <c r="E85">
        <v>1.9599999999999999E-2</v>
      </c>
      <c r="G85" s="2">
        <f t="shared" si="9"/>
        <v>43039</v>
      </c>
      <c r="H85" s="2">
        <f t="shared" si="10"/>
        <v>43220</v>
      </c>
      <c r="I85">
        <f t="shared" si="11"/>
        <v>2.9005524861878459E-2</v>
      </c>
      <c r="J85" s="1">
        <f>IFERROR(getBondPrice($A$1,A85,C85,100,$W$3,$W$4,$W$5,$W$6,$W$7), 100000)</f>
        <v>99.357727069513572</v>
      </c>
      <c r="K85" s="1">
        <f t="shared" si="12"/>
        <v>1.9068970950714706E-2</v>
      </c>
      <c r="L85">
        <f t="shared" si="13"/>
        <v>0.22712154465169476</v>
      </c>
      <c r="M85">
        <f t="shared" si="14"/>
        <v>0.22712154465169476</v>
      </c>
      <c r="N85">
        <f t="shared" si="15"/>
        <v>-5.3102904928529343E-4</v>
      </c>
      <c r="O85">
        <f t="shared" si="16"/>
        <v>5.3102904928529343E-4</v>
      </c>
      <c r="AD85">
        <f t="shared" si="17"/>
        <v>1.9060984517480124E-2</v>
      </c>
    </row>
    <row r="86" spans="1:30" x14ac:dyDescent="0.2">
      <c r="A86" s="2">
        <v>44696</v>
      </c>
      <c r="B86" s="3">
        <v>4.5232876712328771</v>
      </c>
      <c r="C86">
        <v>1.7500000000000002E-2</v>
      </c>
      <c r="D86">
        <v>99.988501086956518</v>
      </c>
      <c r="E86">
        <v>1.9459999999999998E-2</v>
      </c>
      <c r="G86" s="2">
        <f t="shared" si="9"/>
        <v>42870</v>
      </c>
      <c r="H86" s="2">
        <f t="shared" si="10"/>
        <v>43054</v>
      </c>
      <c r="I86">
        <f t="shared" si="11"/>
        <v>0.83220108695652184</v>
      </c>
      <c r="J86" s="1">
        <f>IFERROR(getBondPrice($A$1,A86,C86,100,$W$3,$W$4,$W$5,$W$6,$W$7), 100000)</f>
        <v>100.13617192147609</v>
      </c>
      <c r="K86" s="1">
        <f t="shared" si="12"/>
        <v>1.9112729505048276E-2</v>
      </c>
      <c r="L86">
        <f t="shared" si="13"/>
        <v>0.14767083451957319</v>
      </c>
      <c r="M86">
        <f t="shared" si="14"/>
        <v>0.14767083451957319</v>
      </c>
      <c r="N86">
        <f t="shared" si="15"/>
        <v>-3.4727049495172219E-4</v>
      </c>
      <c r="O86">
        <f t="shared" si="16"/>
        <v>3.4727049495172219E-4</v>
      </c>
      <c r="AD86">
        <f t="shared" si="17"/>
        <v>1.9105121821711025E-2</v>
      </c>
    </row>
    <row r="87" spans="1:30" x14ac:dyDescent="0.2">
      <c r="A87" s="2">
        <v>44712</v>
      </c>
      <c r="B87" s="3">
        <v>4.5671232876712331</v>
      </c>
      <c r="C87">
        <v>1.7500000000000002E-2</v>
      </c>
      <c r="D87">
        <v>99.822745901639351</v>
      </c>
      <c r="E87">
        <v>1.966E-2</v>
      </c>
      <c r="G87" s="2">
        <f t="shared" si="9"/>
        <v>42886</v>
      </c>
      <c r="H87" s="2">
        <f t="shared" si="10"/>
        <v>43069</v>
      </c>
      <c r="I87">
        <f t="shared" si="11"/>
        <v>0.76024590163934447</v>
      </c>
      <c r="J87" s="1">
        <f>IFERROR(getBondPrice($A$1,A87,C87,100,$W$3,$W$4,$W$5,$W$6,$W$7), 100000)</f>
        <v>100.03305489748492</v>
      </c>
      <c r="K87" s="1">
        <f t="shared" si="12"/>
        <v>1.9170010394957093E-2</v>
      </c>
      <c r="L87">
        <f t="shared" si="13"/>
        <v>0.21030899584556551</v>
      </c>
      <c r="M87">
        <f t="shared" si="14"/>
        <v>0.21030899584556551</v>
      </c>
      <c r="N87">
        <f t="shared" si="15"/>
        <v>-4.8998960504290784E-4</v>
      </c>
      <c r="O87">
        <f t="shared" si="16"/>
        <v>4.8998960504290784E-4</v>
      </c>
      <c r="AD87">
        <f t="shared" si="17"/>
        <v>1.9151846963152523E-2</v>
      </c>
    </row>
    <row r="88" spans="1:30" x14ac:dyDescent="0.2">
      <c r="A88" s="2">
        <v>44742</v>
      </c>
      <c r="B88" s="3">
        <v>4.6493150684931503</v>
      </c>
      <c r="C88">
        <v>1.7500000000000002E-2</v>
      </c>
      <c r="D88">
        <v>99.605651086956513</v>
      </c>
      <c r="E88">
        <v>1.9779999999999999E-2</v>
      </c>
      <c r="G88" s="2">
        <f t="shared" si="9"/>
        <v>42916</v>
      </c>
      <c r="H88" s="2">
        <f t="shared" si="10"/>
        <v>43100</v>
      </c>
      <c r="I88">
        <f t="shared" si="11"/>
        <v>0.61345108695652184</v>
      </c>
      <c r="J88" s="1">
        <f>IFERROR(getBondPrice($A$1,A88,C88,100,$W$3,$W$4,$W$5,$W$6,$W$7), 100000)</f>
        <v>99.83867730520943</v>
      </c>
      <c r="K88" s="1">
        <f t="shared" si="12"/>
        <v>1.9248067107710952E-2</v>
      </c>
      <c r="L88">
        <f t="shared" si="13"/>
        <v>0.23302621825291681</v>
      </c>
      <c r="M88">
        <f t="shared" si="14"/>
        <v>0.23302621825291681</v>
      </c>
      <c r="N88">
        <f t="shared" si="15"/>
        <v>-5.3193289228904705E-4</v>
      </c>
      <c r="O88">
        <f t="shared" si="16"/>
        <v>5.3193289228904705E-4</v>
      </c>
      <c r="AD88">
        <f t="shared" si="17"/>
        <v>1.9238479310340232E-2</v>
      </c>
    </row>
    <row r="89" spans="1:30" x14ac:dyDescent="0.2">
      <c r="A89" s="2">
        <v>44773</v>
      </c>
      <c r="B89" s="3">
        <v>4.7342465753424658</v>
      </c>
      <c r="C89">
        <v>1.8749999999999999E-2</v>
      </c>
      <c r="D89">
        <v>99.983720652173901</v>
      </c>
      <c r="E89">
        <v>1.9890000000000001E-2</v>
      </c>
      <c r="G89" s="2">
        <f t="shared" si="9"/>
        <v>42947</v>
      </c>
      <c r="H89" s="2">
        <f t="shared" si="10"/>
        <v>43131</v>
      </c>
      <c r="I89">
        <f t="shared" si="11"/>
        <v>0.49932065217391303</v>
      </c>
      <c r="J89" s="1">
        <f>IFERROR(getBondPrice($A$1,A89,C89,100,$W$3,$W$4,$W$5,$W$6,$W$7), 100000)</f>
        <v>100.23613712817045</v>
      </c>
      <c r="K89" s="1">
        <f t="shared" si="12"/>
        <v>1.9331993946510771E-2</v>
      </c>
      <c r="L89">
        <f t="shared" si="13"/>
        <v>0.25241647599655437</v>
      </c>
      <c r="M89">
        <f t="shared" si="14"/>
        <v>0.25241647599655437</v>
      </c>
      <c r="N89">
        <f t="shared" si="15"/>
        <v>-5.5800605348923019E-4</v>
      </c>
      <c r="O89">
        <f t="shared" si="16"/>
        <v>5.5800605348923019E-4</v>
      </c>
      <c r="AD89">
        <f t="shared" si="17"/>
        <v>1.9326676460865118E-2</v>
      </c>
    </row>
    <row r="90" spans="1:30" x14ac:dyDescent="0.2">
      <c r="A90" s="2">
        <v>44788</v>
      </c>
      <c r="B90" s="3">
        <v>4.7753424657534245</v>
      </c>
      <c r="C90">
        <v>1.6250000000000001E-2</v>
      </c>
      <c r="D90">
        <v>98.804008152173907</v>
      </c>
      <c r="E90">
        <v>1.9689999999999999E-2</v>
      </c>
      <c r="G90" s="2">
        <f t="shared" si="9"/>
        <v>42962</v>
      </c>
      <c r="H90" s="2">
        <f t="shared" si="10"/>
        <v>43146</v>
      </c>
      <c r="I90">
        <f t="shared" si="11"/>
        <v>0.36650815217391303</v>
      </c>
      <c r="J90" s="1">
        <f>IFERROR(getBondPrice($A$1,A90,C90,100,$W$3,$W$4,$W$5,$W$6,$W$7), 100000)</f>
        <v>98.941773472049434</v>
      </c>
      <c r="K90" s="1">
        <f t="shared" si="12"/>
        <v>1.938660308108037E-2</v>
      </c>
      <c r="L90">
        <f t="shared" si="13"/>
        <v>0.13776531987552687</v>
      </c>
      <c r="M90">
        <f t="shared" si="14"/>
        <v>0.13776531987552687</v>
      </c>
      <c r="N90">
        <f t="shared" si="15"/>
        <v>-3.0339691891962881E-4</v>
      </c>
      <c r="O90">
        <f t="shared" si="16"/>
        <v>3.0339691891962881E-4</v>
      </c>
      <c r="AD90">
        <f t="shared" si="17"/>
        <v>1.9368875593862148E-2</v>
      </c>
    </row>
    <row r="91" spans="1:30" x14ac:dyDescent="0.2">
      <c r="A91" s="2">
        <v>44804</v>
      </c>
      <c r="B91" s="3">
        <v>4.8191780821917805</v>
      </c>
      <c r="C91">
        <v>1.6250000000000001E-2</v>
      </c>
      <c r="D91">
        <v>98.621059668508295</v>
      </c>
      <c r="E91">
        <v>1.992E-2</v>
      </c>
      <c r="G91" s="2">
        <f t="shared" si="9"/>
        <v>42978</v>
      </c>
      <c r="H91" s="2">
        <f t="shared" si="10"/>
        <v>43159</v>
      </c>
      <c r="I91">
        <f t="shared" si="11"/>
        <v>0.30075966850828728</v>
      </c>
      <c r="J91" s="1">
        <f>IFERROR(getBondPrice($A$1,A91,C91,100,$W$3,$W$4,$W$5,$W$6,$W$7), 100000)</f>
        <v>98.838677310487299</v>
      </c>
      <c r="K91" s="1">
        <f t="shared" si="12"/>
        <v>1.9443650669269424E-2</v>
      </c>
      <c r="L91">
        <f t="shared" si="13"/>
        <v>0.21761764197900391</v>
      </c>
      <c r="M91">
        <f t="shared" si="14"/>
        <v>0.21761764197900391</v>
      </c>
      <c r="N91">
        <f t="shared" si="15"/>
        <v>-4.7634933073057578E-4</v>
      </c>
      <c r="O91">
        <f t="shared" si="16"/>
        <v>4.7634933073057578E-4</v>
      </c>
      <c r="AD91">
        <f t="shared" si="17"/>
        <v>1.941354857434683E-2</v>
      </c>
    </row>
    <row r="92" spans="1:30" x14ac:dyDescent="0.2">
      <c r="A92" s="2">
        <v>44834</v>
      </c>
      <c r="B92" s="3">
        <v>4.9013698630136986</v>
      </c>
      <c r="C92">
        <v>1.7500000000000002E-2</v>
      </c>
      <c r="D92">
        <v>98.966984615384618</v>
      </c>
      <c r="E92">
        <v>2.0110000000000003E-2</v>
      </c>
      <c r="G92" s="2">
        <f t="shared" si="9"/>
        <v>43008</v>
      </c>
      <c r="H92" s="2">
        <f t="shared" si="10"/>
        <v>43190</v>
      </c>
      <c r="I92">
        <f t="shared" si="11"/>
        <v>0.17788461538461542</v>
      </c>
      <c r="J92" s="1">
        <f>IFERROR(getBondPrice($A$1,A92,C92,100,$W$3,$W$4,$W$5,$W$6,$W$7), 100000)</f>
        <v>99.240469506591353</v>
      </c>
      <c r="K92" s="1">
        <f t="shared" si="12"/>
        <v>1.9514494658471895E-2</v>
      </c>
      <c r="L92">
        <f t="shared" si="13"/>
        <v>0.27348489120673491</v>
      </c>
      <c r="M92">
        <f t="shared" si="14"/>
        <v>0.27348489120673491</v>
      </c>
      <c r="N92">
        <f t="shared" si="15"/>
        <v>-5.9550534152810752E-4</v>
      </c>
      <c r="O92">
        <f t="shared" si="16"/>
        <v>5.9550534152810752E-4</v>
      </c>
      <c r="AD92">
        <f t="shared" si="17"/>
        <v>1.9496375273651688E-2</v>
      </c>
    </row>
    <row r="93" spans="1:30" x14ac:dyDescent="0.2">
      <c r="A93" s="2">
        <v>44865</v>
      </c>
      <c r="B93" s="3">
        <v>4.9863013698630141</v>
      </c>
      <c r="C93">
        <v>1.8749999999999999E-2</v>
      </c>
      <c r="D93">
        <v>99.382677348066309</v>
      </c>
      <c r="E93">
        <v>2.0119999999999999E-2</v>
      </c>
      <c r="G93" s="2">
        <f t="shared" si="9"/>
        <v>43039</v>
      </c>
      <c r="H93" s="2">
        <f t="shared" si="10"/>
        <v>43220</v>
      </c>
      <c r="I93">
        <f t="shared" si="11"/>
        <v>3.1077348066298343E-2</v>
      </c>
      <c r="J93" s="1">
        <f>IFERROR(getBondPrice($A$1,A93,C93,100,$W$3,$W$4,$W$5,$W$6,$W$7), 100000)</f>
        <v>99.633734989529714</v>
      </c>
      <c r="K93" s="1">
        <f t="shared" si="12"/>
        <v>1.9590467770596955E-2</v>
      </c>
      <c r="L93">
        <f t="shared" si="13"/>
        <v>0.25105764146340448</v>
      </c>
      <c r="M93">
        <f t="shared" si="14"/>
        <v>0.25105764146340448</v>
      </c>
      <c r="N93">
        <f t="shared" si="15"/>
        <v>-5.295322294030444E-4</v>
      </c>
      <c r="O93">
        <f t="shared" si="16"/>
        <v>5.295322294030444E-4</v>
      </c>
      <c r="AD93">
        <f t="shared" si="17"/>
        <v>1.9580697344093061E-2</v>
      </c>
    </row>
    <row r="94" spans="1:30" x14ac:dyDescent="0.2">
      <c r="A94" s="2">
        <v>44880</v>
      </c>
      <c r="B94" s="3">
        <v>5.0273972602739727</v>
      </c>
      <c r="C94">
        <v>1.6250000000000001E-2</v>
      </c>
      <c r="D94">
        <v>98.936858152173912</v>
      </c>
      <c r="E94">
        <v>2.0110000000000003E-2</v>
      </c>
      <c r="G94" s="2">
        <f t="shared" si="9"/>
        <v>42870</v>
      </c>
      <c r="H94" s="2">
        <f t="shared" si="10"/>
        <v>43054</v>
      </c>
      <c r="I94">
        <f t="shared" si="11"/>
        <v>0.77275815217391308</v>
      </c>
      <c r="J94" s="1">
        <f>IFERROR(getBondPrice($A$1,A94,C94,100,$W$3,$W$4,$W$5,$W$6,$W$7), 100000)</f>
        <v>99.156825623462552</v>
      </c>
      <c r="K94" s="1">
        <f t="shared" si="12"/>
        <v>1.9642818059369693E-2</v>
      </c>
      <c r="L94">
        <f t="shared" si="13"/>
        <v>0.21996747128864058</v>
      </c>
      <c r="M94">
        <f t="shared" si="14"/>
        <v>0.21996747128864058</v>
      </c>
      <c r="N94">
        <f t="shared" si="15"/>
        <v>-4.6718194063031029E-4</v>
      </c>
      <c r="O94">
        <f t="shared" si="16"/>
        <v>4.6718194063031029E-4</v>
      </c>
      <c r="AD94">
        <f t="shared" si="17"/>
        <v>1.9621042268531726E-2</v>
      </c>
    </row>
    <row r="95" spans="1:30" x14ac:dyDescent="0.2">
      <c r="A95" s="2">
        <v>44895</v>
      </c>
      <c r="B95" s="3">
        <v>5.0684931506849313</v>
      </c>
      <c r="C95">
        <v>0.02</v>
      </c>
      <c r="D95">
        <v>100.76725245901639</v>
      </c>
      <c r="E95">
        <v>2.0209999999999999E-2</v>
      </c>
      <c r="G95" s="2">
        <f t="shared" si="9"/>
        <v>42886</v>
      </c>
      <c r="H95" s="2">
        <f t="shared" si="10"/>
        <v>43069</v>
      </c>
      <c r="I95">
        <f t="shared" si="11"/>
        <v>0.86885245901639341</v>
      </c>
      <c r="J95" s="1">
        <f>IFERROR(getBondPrice($A$1,A95,C95,100,$W$3,$W$4,$W$5,$W$6,$W$7), 100000)</f>
        <v>101.02987852323302</v>
      </c>
      <c r="K95" s="1">
        <f t="shared" si="12"/>
        <v>1.9663300805995942E-2</v>
      </c>
      <c r="L95">
        <f t="shared" si="13"/>
        <v>0.26262606421663293</v>
      </c>
      <c r="M95">
        <f t="shared" si="14"/>
        <v>0.26262606421663293</v>
      </c>
      <c r="N95">
        <f t="shared" si="15"/>
        <v>-5.4669919400405706E-4</v>
      </c>
      <c r="O95">
        <f t="shared" si="16"/>
        <v>5.4669919400405706E-4</v>
      </c>
      <c r="AD95">
        <f t="shared" si="17"/>
        <v>1.9661092715415253E-2</v>
      </c>
    </row>
    <row r="96" spans="1:30" x14ac:dyDescent="0.2">
      <c r="A96" s="2">
        <v>44926</v>
      </c>
      <c r="B96" s="3">
        <v>5.1534246575342468</v>
      </c>
      <c r="C96">
        <v>2.1250000000000002E-2</v>
      </c>
      <c r="D96">
        <v>101.19020489130435</v>
      </c>
      <c r="E96">
        <v>2.0330000000000001E-2</v>
      </c>
      <c r="G96" s="2">
        <f t="shared" si="9"/>
        <v>42916</v>
      </c>
      <c r="H96" s="2">
        <f t="shared" si="10"/>
        <v>43100</v>
      </c>
      <c r="I96">
        <f t="shared" si="11"/>
        <v>0.74490489130434778</v>
      </c>
      <c r="J96" s="1">
        <f>IFERROR(getBondPrice($A$1,A96,C96,100,$W$3,$W$4,$W$5,$W$6,$W$7), 100000)</f>
        <v>101.47960811609643</v>
      </c>
      <c r="K96" s="1">
        <f t="shared" si="12"/>
        <v>1.9740228076949196E-2</v>
      </c>
      <c r="L96">
        <f t="shared" si="13"/>
        <v>0.28940322479208191</v>
      </c>
      <c r="M96">
        <f t="shared" si="14"/>
        <v>0.28940322479208191</v>
      </c>
      <c r="N96">
        <f t="shared" si="15"/>
        <v>-5.8977192305080528E-4</v>
      </c>
      <c r="O96">
        <f t="shared" si="16"/>
        <v>5.8977192305080528E-4</v>
      </c>
      <c r="AD96">
        <f t="shared" si="17"/>
        <v>1.9742939814773073E-2</v>
      </c>
    </row>
    <row r="97" spans="1:30" x14ac:dyDescent="0.2">
      <c r="A97" s="2">
        <v>44957</v>
      </c>
      <c r="B97" s="3">
        <v>5.2383561643835614</v>
      </c>
      <c r="C97">
        <v>1.7500000000000002E-2</v>
      </c>
      <c r="D97">
        <v>98.997332608695658</v>
      </c>
      <c r="E97">
        <v>2.0470000000000002E-2</v>
      </c>
      <c r="G97" s="2">
        <f t="shared" si="9"/>
        <v>42947</v>
      </c>
      <c r="H97" s="2">
        <f t="shared" si="10"/>
        <v>43131</v>
      </c>
      <c r="I97">
        <f t="shared" si="11"/>
        <v>0.46603260869565227</v>
      </c>
      <c r="J97" s="1">
        <f>IFERROR(getBondPrice($A$1,A97,C97,100,$W$3,$W$4,$W$5,$W$6,$W$7), 100000)</f>
        <v>99.306493637964635</v>
      </c>
      <c r="K97" s="1">
        <f t="shared" si="12"/>
        <v>1.9841339483314263E-2</v>
      </c>
      <c r="L97">
        <f t="shared" si="13"/>
        <v>0.30916102926897793</v>
      </c>
      <c r="M97">
        <f t="shared" si="14"/>
        <v>0.30916102926897793</v>
      </c>
      <c r="N97">
        <f t="shared" si="15"/>
        <v>-6.2866051668573897E-4</v>
      </c>
      <c r="O97">
        <f t="shared" si="16"/>
        <v>6.2866051668573897E-4</v>
      </c>
      <c r="AD97">
        <f t="shared" si="17"/>
        <v>1.9823557568109232E-2</v>
      </c>
    </row>
    <row r="98" spans="1:30" x14ac:dyDescent="0.2">
      <c r="A98" s="2">
        <v>44972</v>
      </c>
      <c r="B98" s="3">
        <v>5.279452054794521</v>
      </c>
      <c r="C98">
        <v>0.02</v>
      </c>
      <c r="D98">
        <v>100.20888695652174</v>
      </c>
      <c r="E98">
        <v>2.0480000000000002E-2</v>
      </c>
      <c r="G98" s="2">
        <f t="shared" si="9"/>
        <v>42962</v>
      </c>
      <c r="H98" s="2">
        <f t="shared" si="10"/>
        <v>43146</v>
      </c>
      <c r="I98">
        <f t="shared" si="11"/>
        <v>0.45108695652173914</v>
      </c>
      <c r="J98" s="1">
        <f>IFERROR(getBondPrice($A$1,A98,C98,100,$W$3,$W$4,$W$5,$W$6,$W$7), 100000)</f>
        <v>100.51612904282523</v>
      </c>
      <c r="K98" s="1">
        <f t="shared" si="12"/>
        <v>1.9867045141630194E-2</v>
      </c>
      <c r="L98">
        <f t="shared" si="13"/>
        <v>0.30724208630348926</v>
      </c>
      <c r="M98">
        <f t="shared" si="14"/>
        <v>0.30724208630348926</v>
      </c>
      <c r="N98">
        <f t="shared" si="15"/>
        <v>-6.1295485836980815E-4</v>
      </c>
      <c r="O98">
        <f t="shared" si="16"/>
        <v>6.1295485836980815E-4</v>
      </c>
      <c r="AD98">
        <f t="shared" si="17"/>
        <v>1.9862130466094464E-2</v>
      </c>
    </row>
    <row r="99" spans="1:30" x14ac:dyDescent="0.2">
      <c r="A99" s="2">
        <v>44985</v>
      </c>
      <c r="B99" s="3">
        <v>5.3150684931506849</v>
      </c>
      <c r="C99">
        <v>1.4999999999999999E-2</v>
      </c>
      <c r="D99">
        <v>97.51202430939226</v>
      </c>
      <c r="E99">
        <v>2.052E-2</v>
      </c>
      <c r="G99" s="2">
        <f t="shared" si="9"/>
        <v>42978</v>
      </c>
      <c r="H99" s="2">
        <f t="shared" si="10"/>
        <v>43159</v>
      </c>
      <c r="I99">
        <f t="shared" si="11"/>
        <v>0.27762430939226518</v>
      </c>
      <c r="J99" s="1">
        <f>IFERROR(getBondPrice($A$1,A99,C99,100,$W$3,$W$4,$W$5,$W$6,$W$7), 100000)</f>
        <v>97.812536920479317</v>
      </c>
      <c r="K99" s="1">
        <f t="shared" si="12"/>
        <v>1.9909069911969581E-2</v>
      </c>
      <c r="L99">
        <f t="shared" si="13"/>
        <v>0.30051261108705773</v>
      </c>
      <c r="M99">
        <f t="shared" si="14"/>
        <v>0.30051261108705773</v>
      </c>
      <c r="N99">
        <f t="shared" si="15"/>
        <v>-6.1093008803041887E-4</v>
      </c>
      <c r="O99">
        <f t="shared" si="16"/>
        <v>6.1093008803041887E-4</v>
      </c>
      <c r="AD99">
        <f t="shared" si="17"/>
        <v>1.9895332736704574E-2</v>
      </c>
    </row>
    <row r="100" spans="1:30" x14ac:dyDescent="0.2">
      <c r="A100" s="2">
        <v>45016</v>
      </c>
      <c r="B100" s="3">
        <v>5.4</v>
      </c>
      <c r="C100">
        <v>1.4999999999999999E-2</v>
      </c>
      <c r="D100">
        <v>97.293072527472532</v>
      </c>
      <c r="E100">
        <v>2.0619999999999999E-2</v>
      </c>
      <c r="G100" s="2">
        <f t="shared" si="9"/>
        <v>43008</v>
      </c>
      <c r="H100" s="2">
        <f t="shared" si="10"/>
        <v>43190</v>
      </c>
      <c r="I100">
        <f t="shared" si="11"/>
        <v>0.15247252747252749</v>
      </c>
      <c r="J100" s="1">
        <f>IFERROR(getBondPrice($A$1,A100,C100,100,$W$3,$W$4,$W$5,$W$6,$W$7), 100000)</f>
        <v>97.609406651285312</v>
      </c>
      <c r="K100" s="1">
        <f t="shared" si="12"/>
        <v>1.999189210244302E-2</v>
      </c>
      <c r="L100">
        <f t="shared" si="13"/>
        <v>0.31633412381277992</v>
      </c>
      <c r="M100">
        <f t="shared" si="14"/>
        <v>0.31633412381277992</v>
      </c>
      <c r="N100">
        <f t="shared" si="15"/>
        <v>-6.2810789755697941E-4</v>
      </c>
      <c r="O100">
        <f t="shared" si="16"/>
        <v>6.2810789755697941E-4</v>
      </c>
      <c r="AD100">
        <f t="shared" si="17"/>
        <v>1.9973663060747753E-2</v>
      </c>
    </row>
    <row r="101" spans="1:30" x14ac:dyDescent="0.2">
      <c r="A101" s="2">
        <v>45046</v>
      </c>
      <c r="B101" s="3">
        <v>5.4821917808219176</v>
      </c>
      <c r="C101">
        <v>1.6250000000000001E-2</v>
      </c>
      <c r="D101">
        <v>97.745733701657457</v>
      </c>
      <c r="E101">
        <v>2.0670000000000001E-2</v>
      </c>
      <c r="G101" s="2">
        <f t="shared" si="9"/>
        <v>43039</v>
      </c>
      <c r="H101" s="2">
        <f t="shared" si="10"/>
        <v>43220</v>
      </c>
      <c r="I101">
        <f t="shared" si="11"/>
        <v>2.6933701657458564E-2</v>
      </c>
      <c r="J101" s="1">
        <f>IFERROR(getBondPrice($A$1,A101,C101,100,$W$3,$W$4,$W$5,$W$6,$W$7), 100000)</f>
        <v>98.063840918317766</v>
      </c>
      <c r="K101" s="1">
        <f t="shared" si="12"/>
        <v>2.0048078814645459E-2</v>
      </c>
      <c r="L101">
        <f t="shared" si="13"/>
        <v>0.31810721666030872</v>
      </c>
      <c r="M101">
        <f t="shared" si="14"/>
        <v>0.31810721666030872</v>
      </c>
      <c r="N101">
        <f t="shared" si="15"/>
        <v>-6.2192118535454172E-4</v>
      </c>
      <c r="O101">
        <f t="shared" si="16"/>
        <v>6.2192118535454172E-4</v>
      </c>
      <c r="AD101">
        <f t="shared" si="17"/>
        <v>2.0048347977789396E-2</v>
      </c>
    </row>
    <row r="102" spans="1:30" x14ac:dyDescent="0.2">
      <c r="A102" s="2">
        <v>45061</v>
      </c>
      <c r="B102" s="3">
        <v>5.5232876712328771</v>
      </c>
      <c r="C102">
        <v>1.7500000000000002E-2</v>
      </c>
      <c r="D102">
        <v>99.144701086956516</v>
      </c>
      <c r="E102">
        <v>2.0750000000000001E-2</v>
      </c>
      <c r="G102" s="2">
        <f t="shared" si="9"/>
        <v>42870</v>
      </c>
      <c r="H102" s="2">
        <f t="shared" si="10"/>
        <v>43054</v>
      </c>
      <c r="I102">
        <f t="shared" si="11"/>
        <v>0.83220108695652184</v>
      </c>
      <c r="J102" s="1">
        <f>IFERROR(getBondPrice($A$1,A102,C102,100,$W$3,$W$4,$W$5,$W$6,$W$7), 100000)</f>
        <v>99.490553032065165</v>
      </c>
      <c r="K102" s="1">
        <f t="shared" si="12"/>
        <v>2.0077501112923463E-2</v>
      </c>
      <c r="L102">
        <f t="shared" si="13"/>
        <v>0.34585194510864881</v>
      </c>
      <c r="M102">
        <f t="shared" si="14"/>
        <v>0.34585194510864881</v>
      </c>
      <c r="N102">
        <f t="shared" si="15"/>
        <v>-6.7249888707653777E-4</v>
      </c>
      <c r="O102">
        <f t="shared" si="16"/>
        <v>6.7249888707653777E-4</v>
      </c>
      <c r="AD102">
        <f t="shared" si="17"/>
        <v>2.0085283162807287E-2</v>
      </c>
    </row>
    <row r="103" spans="1:30" x14ac:dyDescent="0.2">
      <c r="A103" s="2">
        <v>45077</v>
      </c>
      <c r="B103" s="3">
        <v>5.5671232876712331</v>
      </c>
      <c r="C103">
        <v>1.6250000000000001E-2</v>
      </c>
      <c r="D103">
        <v>98.338742622950818</v>
      </c>
      <c r="E103">
        <v>2.078E-2</v>
      </c>
      <c r="G103" s="2">
        <f t="shared" si="9"/>
        <v>42886</v>
      </c>
      <c r="H103" s="2">
        <f t="shared" si="10"/>
        <v>43069</v>
      </c>
      <c r="I103">
        <f t="shared" si="11"/>
        <v>0.70594262295081966</v>
      </c>
      <c r="J103" s="1">
        <f>IFERROR(getBondPrice($A$1,A103,C103,100,$W$3,$W$4,$W$5,$W$6,$W$7), 100000)</f>
        <v>98.670844225854012</v>
      </c>
      <c r="K103" s="1">
        <f t="shared" si="12"/>
        <v>2.0132737273088588E-2</v>
      </c>
      <c r="L103">
        <f t="shared" si="13"/>
        <v>0.33210160290319379</v>
      </c>
      <c r="M103">
        <f t="shared" si="14"/>
        <v>0.33210160290319379</v>
      </c>
      <c r="N103">
        <f t="shared" si="15"/>
        <v>-6.4726272691141215E-4</v>
      </c>
      <c r="O103">
        <f t="shared" si="16"/>
        <v>6.4726272691141215E-4</v>
      </c>
      <c r="AD103">
        <f t="shared" si="17"/>
        <v>2.0124384550596452E-2</v>
      </c>
    </row>
    <row r="104" spans="1:30" x14ac:dyDescent="0.2">
      <c r="A104" s="2">
        <v>45107</v>
      </c>
      <c r="B104" s="3">
        <v>5.6493150684931503</v>
      </c>
      <c r="C104">
        <v>1.375E-2</v>
      </c>
      <c r="D104">
        <v>96.708597282608707</v>
      </c>
      <c r="E104">
        <v>2.086E-2</v>
      </c>
      <c r="G104" s="2">
        <f t="shared" si="9"/>
        <v>42916</v>
      </c>
      <c r="H104" s="2">
        <f t="shared" si="10"/>
        <v>43100</v>
      </c>
      <c r="I104">
        <f t="shared" si="11"/>
        <v>0.48199728260869568</v>
      </c>
      <c r="J104" s="1">
        <f>IFERROR(getBondPrice($A$1,A104,C104,100,$W$3,$W$4,$W$5,$W$6,$W$7), 100000)</f>
        <v>97.047345662000865</v>
      </c>
      <c r="K104" s="1">
        <f t="shared" si="12"/>
        <v>2.0212607717870947E-2</v>
      </c>
      <c r="L104">
        <f t="shared" si="13"/>
        <v>0.33874837939215752</v>
      </c>
      <c r="M104">
        <f t="shared" si="14"/>
        <v>0.33874837939215752</v>
      </c>
      <c r="N104">
        <f t="shared" si="15"/>
        <v>-6.4739228212905287E-4</v>
      </c>
      <c r="O104">
        <f t="shared" si="16"/>
        <v>6.4739228212905287E-4</v>
      </c>
      <c r="AD104">
        <f t="shared" si="17"/>
        <v>2.0196884360170204E-2</v>
      </c>
    </row>
    <row r="105" spans="1:30" x14ac:dyDescent="0.2">
      <c r="A105" s="2">
        <v>45138</v>
      </c>
      <c r="B105" s="3">
        <v>5.7342465753424658</v>
      </c>
      <c r="C105">
        <v>1.2500000000000001E-2</v>
      </c>
      <c r="D105">
        <v>95.801680434782611</v>
      </c>
      <c r="E105">
        <v>2.0930000000000001E-2</v>
      </c>
      <c r="G105" s="2">
        <f t="shared" si="9"/>
        <v>42947</v>
      </c>
      <c r="H105" s="2">
        <f t="shared" si="10"/>
        <v>43131</v>
      </c>
      <c r="I105">
        <f t="shared" si="11"/>
        <v>0.3328804347826087</v>
      </c>
      <c r="J105" s="1">
        <f>IFERROR(getBondPrice($A$1,A105,C105,100,$W$3,$W$4,$W$5,$W$6,$W$7), 100000)</f>
        <v>96.132676732122164</v>
      </c>
      <c r="K105" s="1">
        <f t="shared" si="12"/>
        <v>2.0295572400135783E-2</v>
      </c>
      <c r="L105">
        <f t="shared" si="13"/>
        <v>0.33099629733955283</v>
      </c>
      <c r="M105">
        <f t="shared" si="14"/>
        <v>0.33099629733955283</v>
      </c>
      <c r="N105">
        <f t="shared" si="15"/>
        <v>-6.3442759986421723E-4</v>
      </c>
      <c r="O105">
        <f t="shared" si="16"/>
        <v>6.3442759986421723E-4</v>
      </c>
      <c r="AD105">
        <f t="shared" si="17"/>
        <v>2.027069852582002E-2</v>
      </c>
    </row>
    <row r="106" spans="1:30" x14ac:dyDescent="0.2">
      <c r="A106" s="2">
        <v>45153</v>
      </c>
      <c r="B106" s="3">
        <v>5.7753424657534245</v>
      </c>
      <c r="C106">
        <v>2.5000000000000001E-2</v>
      </c>
      <c r="D106">
        <v>102.82945869565218</v>
      </c>
      <c r="E106">
        <v>2.0809999999999999E-2</v>
      </c>
      <c r="G106" s="2">
        <f t="shared" si="9"/>
        <v>42962</v>
      </c>
      <c r="H106" s="2">
        <f t="shared" si="10"/>
        <v>43146</v>
      </c>
      <c r="I106">
        <f t="shared" si="11"/>
        <v>0.56385869565217395</v>
      </c>
      <c r="J106" s="1">
        <f>IFERROR(getBondPrice($A$1,A106,C106,100,$W$3,$W$4,$W$5,$W$6,$W$7), 100000)</f>
        <v>103.13477642950463</v>
      </c>
      <c r="K106" s="1">
        <f t="shared" si="12"/>
        <v>2.0256946637448935E-2</v>
      </c>
      <c r="L106">
        <f t="shared" si="13"/>
        <v>0.30531773385244776</v>
      </c>
      <c r="M106">
        <f t="shared" si="14"/>
        <v>0.30531773385244776</v>
      </c>
      <c r="N106">
        <f t="shared" si="15"/>
        <v>-5.5305336255106335E-4</v>
      </c>
      <c r="O106">
        <f t="shared" si="16"/>
        <v>5.5305336255106335E-4</v>
      </c>
      <c r="AD106">
        <f t="shared" si="17"/>
        <v>2.0306018171239826E-2</v>
      </c>
    </row>
    <row r="107" spans="1:30" x14ac:dyDescent="0.2">
      <c r="A107" s="2">
        <v>45169</v>
      </c>
      <c r="B107" s="3">
        <v>5.8191780821917805</v>
      </c>
      <c r="C107">
        <v>1.375E-2</v>
      </c>
      <c r="D107">
        <v>96.309188950276237</v>
      </c>
      <c r="E107">
        <v>2.0990000000000002E-2</v>
      </c>
      <c r="G107" s="2">
        <f t="shared" si="9"/>
        <v>42978</v>
      </c>
      <c r="H107" s="2">
        <f t="shared" si="10"/>
        <v>43159</v>
      </c>
      <c r="I107">
        <f t="shared" si="11"/>
        <v>0.25448895027624308</v>
      </c>
      <c r="J107" s="1">
        <f>IFERROR(getBondPrice($A$1,A107,C107,100,$W$3,$W$4,$W$5,$W$6,$W$7), 100000)</f>
        <v>96.639625930330737</v>
      </c>
      <c r="K107" s="1">
        <f t="shared" si="12"/>
        <v>2.0372097040819988E-2</v>
      </c>
      <c r="L107">
        <f t="shared" si="13"/>
        <v>0.3304369800545004</v>
      </c>
      <c r="M107">
        <f t="shared" si="14"/>
        <v>0.3304369800545004</v>
      </c>
      <c r="N107">
        <f t="shared" si="15"/>
        <v>-6.1790295918001323E-4</v>
      </c>
      <c r="O107">
        <f t="shared" si="16"/>
        <v>6.1790295918001323E-4</v>
      </c>
      <c r="AD107">
        <f t="shared" si="17"/>
        <v>2.0343410268971629E-2</v>
      </c>
    </row>
    <row r="108" spans="1:30" x14ac:dyDescent="0.2">
      <c r="A108" s="2">
        <v>45199</v>
      </c>
      <c r="B108" s="3">
        <v>5.9013698630136986</v>
      </c>
      <c r="C108">
        <v>1.375E-2</v>
      </c>
      <c r="D108">
        <v>96.100666483516477</v>
      </c>
      <c r="E108">
        <v>2.1070000000000002E-2</v>
      </c>
      <c r="G108" s="2">
        <f t="shared" si="9"/>
        <v>43008</v>
      </c>
      <c r="H108" s="2">
        <f t="shared" si="10"/>
        <v>43190</v>
      </c>
      <c r="I108">
        <f t="shared" si="11"/>
        <v>0.13976648351648352</v>
      </c>
      <c r="J108" s="1">
        <f>IFERROR(getBondPrice($A$1,A108,C108,100,$W$3,$W$4,$W$5,$W$6,$W$7), 100000)</f>
        <v>96.441507579660581</v>
      </c>
      <c r="K108" s="1">
        <f t="shared" si="12"/>
        <v>2.043639133903986E-2</v>
      </c>
      <c r="L108">
        <f t="shared" si="13"/>
        <v>0.34084109614410352</v>
      </c>
      <c r="M108">
        <f t="shared" si="14"/>
        <v>0.34084109614410352</v>
      </c>
      <c r="N108">
        <f t="shared" si="15"/>
        <v>-6.3360866096014157E-4</v>
      </c>
      <c r="O108">
        <f t="shared" si="16"/>
        <v>6.3360866096014157E-4</v>
      </c>
      <c r="AD108">
        <f t="shared" si="17"/>
        <v>2.041274378148886E-2</v>
      </c>
    </row>
    <row r="109" spans="1:30" x14ac:dyDescent="0.2">
      <c r="A109" s="2">
        <v>45230</v>
      </c>
      <c r="B109" s="3">
        <v>5.9863013698630141</v>
      </c>
      <c r="C109">
        <v>1.6250000000000001E-2</v>
      </c>
      <c r="D109">
        <v>97.339433701657455</v>
      </c>
      <c r="E109">
        <v>2.1049999999999999E-2</v>
      </c>
      <c r="G109" s="2">
        <f t="shared" si="9"/>
        <v>43039</v>
      </c>
      <c r="H109" s="2">
        <f t="shared" si="10"/>
        <v>43220</v>
      </c>
      <c r="I109">
        <f t="shared" si="11"/>
        <v>2.6933701657458564E-2</v>
      </c>
      <c r="J109" s="1">
        <f>IFERROR(getBondPrice($A$1,A109,C109,100,$W$3,$W$4,$W$5,$W$6,$W$7), 100000)</f>
        <v>97.65102697019293</v>
      </c>
      <c r="K109" s="1">
        <f t="shared" si="12"/>
        <v>2.0489231670945157E-2</v>
      </c>
      <c r="L109">
        <f t="shared" si="13"/>
        <v>0.31159326853547498</v>
      </c>
      <c r="M109">
        <f t="shared" si="14"/>
        <v>0.31159326853547498</v>
      </c>
      <c r="N109">
        <f t="shared" si="15"/>
        <v>-5.6076832905484209E-4</v>
      </c>
      <c r="O109">
        <f t="shared" si="16"/>
        <v>5.6076832905484209E-4</v>
      </c>
      <c r="AD109">
        <f t="shared" si="17"/>
        <v>2.0483338689561002E-2</v>
      </c>
    </row>
    <row r="110" spans="1:30" x14ac:dyDescent="0.2">
      <c r="A110" s="2">
        <v>45245</v>
      </c>
      <c r="B110" s="3">
        <v>6.0273972602739727</v>
      </c>
      <c r="C110">
        <v>2.75E-2</v>
      </c>
      <c r="D110">
        <v>104.9483445652174</v>
      </c>
      <c r="E110">
        <v>2.1030000000000004E-2</v>
      </c>
      <c r="G110" s="2">
        <f t="shared" si="9"/>
        <v>42870</v>
      </c>
      <c r="H110" s="2">
        <f t="shared" si="10"/>
        <v>43054</v>
      </c>
      <c r="I110">
        <f t="shared" si="11"/>
        <v>1.3077445652173914</v>
      </c>
      <c r="J110" s="1">
        <f>IFERROR(getBondPrice($A$1,A110,C110,100,$W$3,$W$4,$W$5,$W$6,$W$7), 100000)</f>
        <v>105.28282856864313</v>
      </c>
      <c r="K110" s="1">
        <f t="shared" si="12"/>
        <v>2.045268722779417E-2</v>
      </c>
      <c r="L110">
        <f t="shared" si="13"/>
        <v>0.33448400342572882</v>
      </c>
      <c r="M110">
        <f t="shared" si="14"/>
        <v>0.33448400342572882</v>
      </c>
      <c r="N110">
        <f t="shared" si="15"/>
        <v>-5.7731277220583396E-4</v>
      </c>
      <c r="O110">
        <f t="shared" si="16"/>
        <v>5.7731277220583396E-4</v>
      </c>
      <c r="AD110">
        <f t="shared" si="17"/>
        <v>2.0517119693837946E-2</v>
      </c>
    </row>
    <row r="111" spans="1:30" x14ac:dyDescent="0.2">
      <c r="A111" s="2">
        <v>45260</v>
      </c>
      <c r="B111" s="3">
        <v>6.0684931506849313</v>
      </c>
      <c r="C111">
        <v>2.1250000000000002E-2</v>
      </c>
      <c r="D111">
        <v>101.01695573770492</v>
      </c>
      <c r="E111">
        <v>2.1080000000000002E-2</v>
      </c>
      <c r="G111" s="2">
        <f t="shared" si="9"/>
        <v>42886</v>
      </c>
      <c r="H111" s="2">
        <f t="shared" si="10"/>
        <v>43069</v>
      </c>
      <c r="I111">
        <f t="shared" si="11"/>
        <v>0.92315573770491799</v>
      </c>
      <c r="J111" s="1">
        <f>IFERROR(getBondPrice($A$1,A111,C111,100,$W$3,$W$4,$W$5,$W$6,$W$7), 100000)</f>
        <v>101.33478344479482</v>
      </c>
      <c r="K111" s="1">
        <f t="shared" si="12"/>
        <v>2.0523691899330974E-2</v>
      </c>
      <c r="L111">
        <f t="shared" si="13"/>
        <v>0.31782770708990427</v>
      </c>
      <c r="M111">
        <f t="shared" si="14"/>
        <v>0.31782770708990427</v>
      </c>
      <c r="N111">
        <f t="shared" si="15"/>
        <v>-5.5630810066902708E-4</v>
      </c>
      <c r="O111">
        <f t="shared" si="16"/>
        <v>5.5630810066902708E-4</v>
      </c>
      <c r="AD111">
        <f t="shared" si="17"/>
        <v>2.0550657001986564E-2</v>
      </c>
    </row>
    <row r="112" spans="1:30" x14ac:dyDescent="0.2">
      <c r="A112" s="2">
        <v>45291</v>
      </c>
      <c r="B112" s="3">
        <v>6.1534246575342468</v>
      </c>
      <c r="C112">
        <v>2.2499999999999999E-2</v>
      </c>
      <c r="D112">
        <v>101.49962282608695</v>
      </c>
      <c r="E112">
        <v>2.1259999999999998E-2</v>
      </c>
      <c r="G112" s="2">
        <f t="shared" si="9"/>
        <v>42916</v>
      </c>
      <c r="H112" s="2">
        <f t="shared" si="10"/>
        <v>43100</v>
      </c>
      <c r="I112">
        <f t="shared" si="11"/>
        <v>0.78872282608695654</v>
      </c>
      <c r="J112" s="1">
        <f>IFERROR(getBondPrice($A$1,A112,C112,100,$W$3,$W$4,$W$5,$W$6,$W$7), 100000)</f>
        <v>101.88828550889016</v>
      </c>
      <c r="K112" s="1">
        <f t="shared" si="12"/>
        <v>2.0585099751627547E-2</v>
      </c>
      <c r="L112">
        <f t="shared" si="13"/>
        <v>0.38866268280321492</v>
      </c>
      <c r="M112">
        <f t="shared" si="14"/>
        <v>0.38866268280321492</v>
      </c>
      <c r="N112">
        <f t="shared" si="15"/>
        <v>-6.7490024837245019E-4</v>
      </c>
      <c r="O112">
        <f t="shared" si="16"/>
        <v>6.7490024837245019E-4</v>
      </c>
      <c r="AD112">
        <f t="shared" si="17"/>
        <v>2.061920372865567E-2</v>
      </c>
    </row>
    <row r="113" spans="1:30" x14ac:dyDescent="0.2">
      <c r="A113" s="2">
        <v>45337</v>
      </c>
      <c r="B113" s="3">
        <v>6.279452054794521</v>
      </c>
      <c r="C113">
        <v>2.75E-2</v>
      </c>
      <c r="D113">
        <v>104.1983445652174</v>
      </c>
      <c r="E113">
        <v>2.137E-2</v>
      </c>
      <c r="G113" s="2">
        <f t="shared" si="9"/>
        <v>42962</v>
      </c>
      <c r="H113" s="2">
        <f t="shared" si="10"/>
        <v>43146</v>
      </c>
      <c r="I113">
        <f t="shared" si="11"/>
        <v>0.62024456521739135</v>
      </c>
      <c r="J113" s="1">
        <f>IFERROR(getBondPrice($A$1,A113,C113,100,$W$3,$W$4,$W$5,$W$6,$W$7), 100000)</f>
        <v>104.62835202169956</v>
      </c>
      <c r="K113" s="1">
        <f t="shared" si="12"/>
        <v>2.0653317301359657E-2</v>
      </c>
      <c r="L113">
        <f t="shared" si="13"/>
        <v>0.43000745648215855</v>
      </c>
      <c r="M113">
        <f t="shared" si="14"/>
        <v>0.43000745648215855</v>
      </c>
      <c r="N113">
        <f t="shared" si="15"/>
        <v>-7.1668269864034323E-4</v>
      </c>
      <c r="O113">
        <f t="shared" si="16"/>
        <v>7.1668269864034323E-4</v>
      </c>
      <c r="AD113">
        <f t="shared" si="17"/>
        <v>2.0719053023758552E-2</v>
      </c>
    </row>
    <row r="114" spans="1:30" x14ac:dyDescent="0.2">
      <c r="A114" s="2">
        <v>45351</v>
      </c>
      <c r="B114" s="3">
        <v>6.3178082191780822</v>
      </c>
      <c r="C114">
        <v>2.1250000000000002E-2</v>
      </c>
      <c r="D114">
        <v>100.26830110497238</v>
      </c>
      <c r="E114">
        <v>2.146E-2</v>
      </c>
      <c r="G114" s="2">
        <f t="shared" si="9"/>
        <v>42978</v>
      </c>
      <c r="H114" s="2">
        <f t="shared" si="10"/>
        <v>43159</v>
      </c>
      <c r="I114">
        <f t="shared" si="11"/>
        <v>0.39330110497237569</v>
      </c>
      <c r="J114" s="1">
        <f>IFERROR(getBondPrice($A$1,A114,C114,100,$W$3,$W$4,$W$5,$W$6,$W$7), 100000)</f>
        <v>100.7066573644378</v>
      </c>
      <c r="K114" s="1">
        <f t="shared" si="12"/>
        <v>2.0715891799442304E-2</v>
      </c>
      <c r="L114">
        <f t="shared" si="13"/>
        <v>0.43835625946542223</v>
      </c>
      <c r="M114">
        <f t="shared" si="14"/>
        <v>0.43835625946542223</v>
      </c>
      <c r="N114">
        <f t="shared" si="15"/>
        <v>-7.4410820055769572E-4</v>
      </c>
      <c r="O114">
        <f t="shared" si="16"/>
        <v>7.4410820055769572E-4</v>
      </c>
      <c r="AD114">
        <f t="shared" si="17"/>
        <v>2.0749006996641551E-2</v>
      </c>
    </row>
    <row r="115" spans="1:30" x14ac:dyDescent="0.2">
      <c r="A115" s="2">
        <v>45382</v>
      </c>
      <c r="B115" s="3">
        <v>6.4027397260273968</v>
      </c>
      <c r="C115">
        <v>2.1250000000000002E-2</v>
      </c>
      <c r="D115">
        <v>100.04410274725275</v>
      </c>
      <c r="E115">
        <v>2.154E-2</v>
      </c>
      <c r="G115" s="2">
        <f t="shared" si="9"/>
        <v>43008</v>
      </c>
      <c r="H115" s="2">
        <f t="shared" si="10"/>
        <v>43190</v>
      </c>
      <c r="I115">
        <f t="shared" si="11"/>
        <v>0.21600274725274726</v>
      </c>
      <c r="J115" s="1">
        <f>IFERROR(getBondPrice($A$1,A115,C115,100,$W$3,$W$4,$W$5,$W$6,$W$7), 100000)</f>
        <v>100.49266422742953</v>
      </c>
      <c r="K115" s="1">
        <f t="shared" si="12"/>
        <v>2.078448652670627E-2</v>
      </c>
      <c r="L115">
        <f t="shared" si="13"/>
        <v>0.4485614801767781</v>
      </c>
      <c r="M115">
        <f t="shared" si="14"/>
        <v>0.4485614801767781</v>
      </c>
      <c r="N115">
        <f t="shared" si="15"/>
        <v>-7.5551347329372992E-4</v>
      </c>
      <c r="O115">
        <f t="shared" si="16"/>
        <v>7.5551347329372992E-4</v>
      </c>
      <c r="AD115">
        <f t="shared" si="17"/>
        <v>2.0814623521568907E-2</v>
      </c>
    </row>
    <row r="116" spans="1:30" x14ac:dyDescent="0.2">
      <c r="A116" s="2">
        <v>45412</v>
      </c>
      <c r="B116" s="3">
        <v>6.484931506849315</v>
      </c>
      <c r="C116">
        <v>0.02</v>
      </c>
      <c r="D116">
        <v>99.080049171270716</v>
      </c>
      <c r="E116">
        <v>2.1579999999999998E-2</v>
      </c>
      <c r="G116" s="2">
        <f t="shared" si="9"/>
        <v>43039</v>
      </c>
      <c r="H116" s="2">
        <f t="shared" si="10"/>
        <v>43220</v>
      </c>
      <c r="I116">
        <f t="shared" si="11"/>
        <v>3.3149171270718231E-2</v>
      </c>
      <c r="J116" s="1">
        <f>IFERROR(getBondPrice($A$1,A116,C116,100,$W$3,$W$4,$W$5,$W$6,$W$7), 100000)</f>
        <v>99.523144496394551</v>
      </c>
      <c r="K116" s="1">
        <f t="shared" si="12"/>
        <v>2.0844791168834757E-2</v>
      </c>
      <c r="L116">
        <f t="shared" si="13"/>
        <v>0.44309532512383498</v>
      </c>
      <c r="M116">
        <f t="shared" si="14"/>
        <v>0.44309532512383498</v>
      </c>
      <c r="N116">
        <f t="shared" si="15"/>
        <v>-7.3520883116524188E-4</v>
      </c>
      <c r="O116">
        <f t="shared" si="16"/>
        <v>7.3520883116524188E-4</v>
      </c>
      <c r="AD116">
        <f t="shared" si="17"/>
        <v>2.0877204887483906E-2</v>
      </c>
    </row>
    <row r="117" spans="1:30" x14ac:dyDescent="0.2">
      <c r="A117" s="2">
        <v>45427</v>
      </c>
      <c r="B117" s="3">
        <v>6.5260273972602736</v>
      </c>
      <c r="C117">
        <v>2.5000000000000001E-2</v>
      </c>
      <c r="D117">
        <v>103.24355869565217</v>
      </c>
      <c r="E117">
        <v>2.1610000000000001E-2</v>
      </c>
      <c r="G117" s="2">
        <f t="shared" si="9"/>
        <v>42870</v>
      </c>
      <c r="H117" s="2">
        <f t="shared" si="10"/>
        <v>43054</v>
      </c>
      <c r="I117">
        <f t="shared" si="11"/>
        <v>1.1888586956521738</v>
      </c>
      <c r="J117" s="1">
        <f>IFERROR(getBondPrice($A$1,A117,C117,100,$W$3,$W$4,$W$5,$W$6,$W$7), 100000)</f>
        <v>103.71328384375619</v>
      </c>
      <c r="K117" s="1">
        <f t="shared" si="12"/>
        <v>2.0841215337158724E-2</v>
      </c>
      <c r="L117">
        <f t="shared" si="13"/>
        <v>0.46972514810401833</v>
      </c>
      <c r="M117">
        <f t="shared" si="14"/>
        <v>0.46972514810401833</v>
      </c>
      <c r="N117">
        <f t="shared" si="15"/>
        <v>-7.6878466284127644E-4</v>
      </c>
      <c r="O117">
        <f t="shared" si="16"/>
        <v>7.6878466284127644E-4</v>
      </c>
      <c r="AD117">
        <f t="shared" si="17"/>
        <v>2.0908161636661489E-2</v>
      </c>
    </row>
    <row r="118" spans="1:30" x14ac:dyDescent="0.2">
      <c r="A118" s="2">
        <v>45443</v>
      </c>
      <c r="B118" s="3">
        <v>6.5698630136986305</v>
      </c>
      <c r="C118">
        <v>0.02</v>
      </c>
      <c r="D118">
        <v>99.8454524590164</v>
      </c>
      <c r="E118">
        <v>2.1680000000000001E-2</v>
      </c>
      <c r="G118" s="2">
        <f t="shared" si="9"/>
        <v>42886</v>
      </c>
      <c r="H118" s="2">
        <f t="shared" si="10"/>
        <v>43069</v>
      </c>
      <c r="I118">
        <f t="shared" si="11"/>
        <v>0.86885245901639341</v>
      </c>
      <c r="J118" s="1">
        <f>IFERROR(getBondPrice($A$1,A118,C118,100,$W$3,$W$4,$W$5,$W$6,$W$7), 100000)</f>
        <v>100.30942417396635</v>
      </c>
      <c r="K118" s="1">
        <f t="shared" si="12"/>
        <v>2.0915373362506876E-2</v>
      </c>
      <c r="L118">
        <f t="shared" si="13"/>
        <v>0.46397171494994893</v>
      </c>
      <c r="M118">
        <f t="shared" si="14"/>
        <v>0.46397171494994893</v>
      </c>
      <c r="N118">
        <f t="shared" si="15"/>
        <v>-7.6462663749312515E-4</v>
      </c>
      <c r="O118">
        <f t="shared" si="16"/>
        <v>7.6462663749312515E-4</v>
      </c>
      <c r="AD118">
        <f t="shared" si="17"/>
        <v>2.0940939635986703E-2</v>
      </c>
    </row>
    <row r="119" spans="1:30" x14ac:dyDescent="0.2">
      <c r="A119" s="2">
        <v>45473</v>
      </c>
      <c r="B119" s="3">
        <v>6.6520547945205477</v>
      </c>
      <c r="C119">
        <v>0.02</v>
      </c>
      <c r="D119">
        <v>99.630786956521732</v>
      </c>
      <c r="E119">
        <v>2.1739999999999999E-2</v>
      </c>
      <c r="G119" s="2">
        <f t="shared" si="9"/>
        <v>42916</v>
      </c>
      <c r="H119" s="2">
        <f t="shared" si="10"/>
        <v>43100</v>
      </c>
      <c r="I119">
        <f t="shared" si="11"/>
        <v>0.70108695652173914</v>
      </c>
      <c r="J119" s="1">
        <f>IFERROR(getBondPrice($A$1,A119,C119,100,$W$3,$W$4,$W$5,$W$6,$W$7), 100000)</f>
        <v>100.10154903539443</v>
      </c>
      <c r="K119" s="1">
        <f t="shared" si="12"/>
        <v>2.0968893124705061E-2</v>
      </c>
      <c r="L119">
        <f t="shared" si="13"/>
        <v>0.47076207887269561</v>
      </c>
      <c r="M119">
        <f t="shared" si="14"/>
        <v>0.47076207887269561</v>
      </c>
      <c r="N119">
        <f t="shared" si="15"/>
        <v>-7.7110687529493779E-4</v>
      </c>
      <c r="O119">
        <f t="shared" si="16"/>
        <v>7.7110687529493779E-4</v>
      </c>
      <c r="AD119">
        <f t="shared" si="17"/>
        <v>2.1001731465607239E-2</v>
      </c>
    </row>
    <row r="120" spans="1:30" x14ac:dyDescent="0.2">
      <c r="A120" s="2">
        <v>45504</v>
      </c>
      <c r="B120" s="3">
        <v>6.7369863013698632</v>
      </c>
      <c r="C120">
        <v>2.1250000000000002E-2</v>
      </c>
      <c r="D120">
        <v>100.22999673913044</v>
      </c>
      <c r="E120">
        <v>2.1789999999999997E-2</v>
      </c>
      <c r="G120" s="2">
        <f t="shared" si="9"/>
        <v>42947</v>
      </c>
      <c r="H120" s="2">
        <f t="shared" si="10"/>
        <v>43131</v>
      </c>
      <c r="I120">
        <f t="shared" si="11"/>
        <v>0.56589673913043481</v>
      </c>
      <c r="J120" s="1">
        <f>IFERROR(getBondPrice($A$1,A120,C120,100,$W$3,$W$4,$W$5,$W$6,$W$7), 100000)</f>
        <v>100.70678352870975</v>
      </c>
      <c r="K120" s="1">
        <f t="shared" si="12"/>
        <v>2.102230610462838E-2</v>
      </c>
      <c r="L120">
        <f t="shared" si="13"/>
        <v>0.47678678957930742</v>
      </c>
      <c r="M120">
        <f t="shared" si="14"/>
        <v>0.47678678957930742</v>
      </c>
      <c r="N120">
        <f t="shared" si="15"/>
        <v>-7.6769389537161697E-4</v>
      </c>
      <c r="O120">
        <f t="shared" si="16"/>
        <v>7.6769389537161697E-4</v>
      </c>
      <c r="AD120">
        <f t="shared" si="17"/>
        <v>2.1063649345899663E-2</v>
      </c>
    </row>
    <row r="121" spans="1:30" x14ac:dyDescent="0.2">
      <c r="A121" s="2">
        <v>45519</v>
      </c>
      <c r="B121" s="3">
        <v>6.7780821917808218</v>
      </c>
      <c r="C121">
        <v>2.375E-2</v>
      </c>
      <c r="D121">
        <v>101.74656576086956</v>
      </c>
      <c r="E121">
        <v>2.1819999999999999E-2</v>
      </c>
      <c r="G121" s="2">
        <f t="shared" si="9"/>
        <v>42962</v>
      </c>
      <c r="H121" s="2">
        <f t="shared" si="10"/>
        <v>43146</v>
      </c>
      <c r="I121">
        <f t="shared" si="11"/>
        <v>0.53566576086956519</v>
      </c>
      <c r="J121" s="1">
        <f>IFERROR(getBondPrice($A$1,A121,C121,100,$W$3,$W$4,$W$5,$W$6,$W$7), 100000)</f>
        <v>102.2403750783206</v>
      </c>
      <c r="K121" s="1">
        <f t="shared" si="12"/>
        <v>2.1034442473920879E-2</v>
      </c>
      <c r="L121">
        <f t="shared" si="13"/>
        <v>0.49380931745103851</v>
      </c>
      <c r="M121">
        <f t="shared" si="14"/>
        <v>0.49380931745103851</v>
      </c>
      <c r="N121">
        <f t="shared" si="15"/>
        <v>-7.8555752607912047E-4</v>
      </c>
      <c r="O121">
        <f t="shared" si="16"/>
        <v>7.8555752607912047E-4</v>
      </c>
      <c r="AD121">
        <f t="shared" si="17"/>
        <v>2.1093285929228392E-2</v>
      </c>
    </row>
    <row r="122" spans="1:30" x14ac:dyDescent="0.2">
      <c r="A122" s="2">
        <v>45535</v>
      </c>
      <c r="B122" s="3">
        <v>6.8219178082191778</v>
      </c>
      <c r="C122">
        <v>1.8749999999999999E-2</v>
      </c>
      <c r="D122">
        <v>98.401730386740326</v>
      </c>
      <c r="E122">
        <v>2.1840000000000002E-2</v>
      </c>
      <c r="G122" s="2">
        <f t="shared" si="9"/>
        <v>42978</v>
      </c>
      <c r="H122" s="2">
        <f t="shared" si="10"/>
        <v>43159</v>
      </c>
      <c r="I122">
        <f t="shared" si="11"/>
        <v>0.34703038674033149</v>
      </c>
      <c r="J122" s="1">
        <f>IFERROR(getBondPrice($A$1,A122,C122,100,$W$3,$W$4,$W$5,$W$6,$W$7), 100000)</f>
        <v>98.854942484870818</v>
      </c>
      <c r="K122" s="1">
        <f t="shared" si="12"/>
        <v>2.111041105146088E-2</v>
      </c>
      <c r="L122">
        <f t="shared" si="13"/>
        <v>0.45321209813049279</v>
      </c>
      <c r="M122">
        <f t="shared" si="14"/>
        <v>0.45321209813049279</v>
      </c>
      <c r="N122">
        <f t="shared" si="15"/>
        <v>-7.2958894853912201E-4</v>
      </c>
      <c r="O122">
        <f t="shared" si="16"/>
        <v>7.2958894853912201E-4</v>
      </c>
      <c r="AD122">
        <f t="shared" si="17"/>
        <v>2.112466843083859E-2</v>
      </c>
    </row>
    <row r="123" spans="1:30" x14ac:dyDescent="0.2">
      <c r="A123" s="2">
        <v>45565</v>
      </c>
      <c r="B123" s="3">
        <v>6.904109589041096</v>
      </c>
      <c r="C123">
        <v>2.1250000000000002E-2</v>
      </c>
      <c r="D123">
        <v>99.80190274725274</v>
      </c>
      <c r="E123">
        <v>2.1899999999999999E-2</v>
      </c>
      <c r="G123" s="2">
        <f t="shared" si="9"/>
        <v>43008</v>
      </c>
      <c r="H123" s="2">
        <f t="shared" si="10"/>
        <v>43190</v>
      </c>
      <c r="I123">
        <f t="shared" si="11"/>
        <v>0.21600274725274726</v>
      </c>
      <c r="J123" s="1">
        <f>IFERROR(getBondPrice($A$1,A123,C123,100,$W$3,$W$4,$W$5,$W$6,$W$7), 100000)</f>
        <v>100.28204509964196</v>
      </c>
      <c r="K123" s="1">
        <f t="shared" si="12"/>
        <v>2.1145191908653622E-2</v>
      </c>
      <c r="L123">
        <f t="shared" si="13"/>
        <v>0.48014235238922254</v>
      </c>
      <c r="M123">
        <f t="shared" si="14"/>
        <v>0.48014235238922254</v>
      </c>
      <c r="N123">
        <f t="shared" si="15"/>
        <v>-7.5480809134637755E-4</v>
      </c>
      <c r="O123">
        <f t="shared" si="16"/>
        <v>7.5480809134637755E-4</v>
      </c>
      <c r="AD123">
        <f t="shared" si="17"/>
        <v>2.1182878782257348E-2</v>
      </c>
    </row>
    <row r="124" spans="1:30" x14ac:dyDescent="0.2">
      <c r="A124" s="2">
        <v>45596</v>
      </c>
      <c r="B124" s="3">
        <v>6.9890410958904106</v>
      </c>
      <c r="C124">
        <v>2.2499999999999999E-2</v>
      </c>
      <c r="D124">
        <v>100.38889281767956</v>
      </c>
      <c r="E124">
        <v>2.1949999999999997E-2</v>
      </c>
      <c r="G124" s="2">
        <f t="shared" si="9"/>
        <v>43039</v>
      </c>
      <c r="H124" s="2">
        <f t="shared" si="10"/>
        <v>43220</v>
      </c>
      <c r="I124">
        <f t="shared" si="11"/>
        <v>3.7292817679558013E-2</v>
      </c>
      <c r="J124" s="1">
        <f>IFERROR(getBondPrice($A$1,A124,C124,100,$W$3,$W$4,$W$5,$W$6,$W$7), 100000)</f>
        <v>100.88157775593638</v>
      </c>
      <c r="K124" s="1">
        <f t="shared" si="12"/>
        <v>2.1192670576731472E-2</v>
      </c>
      <c r="L124">
        <f t="shared" si="13"/>
        <v>0.49268493825681503</v>
      </c>
      <c r="M124">
        <f t="shared" si="14"/>
        <v>0.49268493825681503</v>
      </c>
      <c r="N124">
        <f t="shared" si="15"/>
        <v>-7.5732942326852543E-4</v>
      </c>
      <c r="O124">
        <f t="shared" si="16"/>
        <v>7.5732942326852543E-4</v>
      </c>
      <c r="AD124">
        <f t="shared" si="17"/>
        <v>2.124217686451365E-2</v>
      </c>
    </row>
    <row r="125" spans="1:30" x14ac:dyDescent="0.2">
      <c r="A125" s="2">
        <v>45611</v>
      </c>
      <c r="B125" s="3">
        <v>7.0301369863013701</v>
      </c>
      <c r="C125">
        <v>2.2499999999999999E-2</v>
      </c>
      <c r="D125">
        <v>101.39807282608696</v>
      </c>
      <c r="E125">
        <v>2.1989999999999999E-2</v>
      </c>
      <c r="G125" s="2">
        <f t="shared" si="9"/>
        <v>42870</v>
      </c>
      <c r="H125" s="2">
        <f t="shared" si="10"/>
        <v>43054</v>
      </c>
      <c r="I125">
        <f t="shared" si="11"/>
        <v>1.0699728260869565</v>
      </c>
      <c r="J125" s="1">
        <f>IFERROR(getBondPrice($A$1,A125,C125,100,$W$3,$W$4,$W$5,$W$6,$W$7), 100000)</f>
        <v>101.90082276659707</v>
      </c>
      <c r="K125" s="1">
        <f t="shared" si="12"/>
        <v>2.1220182581665314E-2</v>
      </c>
      <c r="L125">
        <f t="shared" si="13"/>
        <v>0.5027499405101139</v>
      </c>
      <c r="M125">
        <f t="shared" si="14"/>
        <v>0.5027499405101139</v>
      </c>
      <c r="N125">
        <f t="shared" si="15"/>
        <v>-7.6981741833468537E-4</v>
      </c>
      <c r="O125">
        <f t="shared" si="16"/>
        <v>7.6981741833468537E-4</v>
      </c>
      <c r="AD125">
        <f t="shared" si="17"/>
        <v>2.1270563096874431E-2</v>
      </c>
    </row>
    <row r="126" spans="1:30" x14ac:dyDescent="0.2">
      <c r="A126" s="2">
        <v>45703</v>
      </c>
      <c r="B126" s="3">
        <v>7.2821917808219174</v>
      </c>
      <c r="C126">
        <v>0.02</v>
      </c>
      <c r="D126">
        <v>98.966686956521741</v>
      </c>
      <c r="E126">
        <v>2.222E-2</v>
      </c>
      <c r="G126" s="2">
        <f t="shared" si="9"/>
        <v>42962</v>
      </c>
      <c r="H126" s="2">
        <f t="shared" si="10"/>
        <v>43146</v>
      </c>
      <c r="I126">
        <f t="shared" si="11"/>
        <v>0.45108695652173914</v>
      </c>
      <c r="J126" s="1">
        <f>IFERROR(getBondPrice($A$1,A126,C126,100,$W$3,$W$4,$W$5,$W$6,$W$7), 100000)</f>
        <v>99.505267560011433</v>
      </c>
      <c r="K126" s="1">
        <f t="shared" si="12"/>
        <v>2.1409031281812482E-2</v>
      </c>
      <c r="L126">
        <f t="shared" si="13"/>
        <v>0.53858060348969161</v>
      </c>
      <c r="M126">
        <f t="shared" si="14"/>
        <v>0.53858060348969161</v>
      </c>
      <c r="N126">
        <f t="shared" si="15"/>
        <v>-8.1096871818751859E-4</v>
      </c>
      <c r="O126">
        <f t="shared" si="16"/>
        <v>8.1096871818751859E-4</v>
      </c>
      <c r="AD126">
        <f t="shared" si="17"/>
        <v>2.1440414986834022E-2</v>
      </c>
    </row>
    <row r="127" spans="1:30" x14ac:dyDescent="0.2">
      <c r="A127" s="2">
        <v>45792</v>
      </c>
      <c r="B127" s="3">
        <v>7.5260273972602736</v>
      </c>
      <c r="C127">
        <v>2.1250000000000002E-2</v>
      </c>
      <c r="D127">
        <v>100.26052989130434</v>
      </c>
      <c r="E127">
        <v>2.2339999999999999E-2</v>
      </c>
      <c r="G127" s="2">
        <f t="shared" si="9"/>
        <v>42870</v>
      </c>
      <c r="H127" s="2">
        <f t="shared" si="10"/>
        <v>43054</v>
      </c>
      <c r="I127">
        <f t="shared" si="11"/>
        <v>1.0105298913043479</v>
      </c>
      <c r="J127" s="1">
        <f>IFERROR(getBondPrice($A$1,A127,C127,100,$W$3,$W$4,$W$5,$W$6,$W$7), 100000)</f>
        <v>100.81343878126366</v>
      </c>
      <c r="K127" s="1">
        <f t="shared" si="12"/>
        <v>2.1534749474402089E-2</v>
      </c>
      <c r="L127">
        <f t="shared" si="13"/>
        <v>0.55290888995931198</v>
      </c>
      <c r="M127">
        <f t="shared" si="14"/>
        <v>0.55290888995931198</v>
      </c>
      <c r="N127">
        <f t="shared" si="15"/>
        <v>-8.0525052559790936E-4</v>
      </c>
      <c r="O127">
        <f t="shared" si="16"/>
        <v>8.0525052559790936E-4</v>
      </c>
      <c r="AD127">
        <f t="shared" si="17"/>
        <v>2.1598049074226529E-2</v>
      </c>
    </row>
    <row r="128" spans="1:30" x14ac:dyDescent="0.2">
      <c r="A128" s="2">
        <v>45884</v>
      </c>
      <c r="B128" s="3">
        <v>7.7780821917808218</v>
      </c>
      <c r="C128">
        <v>0.02</v>
      </c>
      <c r="D128">
        <v>98.646386956521738</v>
      </c>
      <c r="E128">
        <v>2.2540000000000001E-2</v>
      </c>
      <c r="G128" s="2">
        <f t="shared" si="9"/>
        <v>42962</v>
      </c>
      <c r="H128" s="2">
        <f t="shared" si="10"/>
        <v>43146</v>
      </c>
      <c r="I128">
        <f t="shared" si="11"/>
        <v>0.45108695652173914</v>
      </c>
      <c r="J128" s="1">
        <f>IFERROR(getBondPrice($A$1,A128,C128,100,$W$3,$W$4,$W$5,$W$6,$W$7), 100000)</f>
        <v>99.238392088681593</v>
      </c>
      <c r="K128" s="1">
        <f t="shared" si="12"/>
        <v>2.1701682302925622E-2</v>
      </c>
      <c r="L128">
        <f t="shared" si="13"/>
        <v>0.59200513215985495</v>
      </c>
      <c r="M128">
        <f t="shared" si="14"/>
        <v>0.59200513215985495</v>
      </c>
      <c r="N128">
        <f t="shared" si="15"/>
        <v>-8.38317697074379E-4</v>
      </c>
      <c r="O128">
        <f t="shared" si="16"/>
        <v>8.38317697074379E-4</v>
      </c>
      <c r="AD128">
        <f t="shared" si="17"/>
        <v>2.1754481756171035E-2</v>
      </c>
    </row>
    <row r="129" spans="1:30" x14ac:dyDescent="0.2">
      <c r="A129" s="2">
        <v>45976</v>
      </c>
      <c r="B129" s="3">
        <v>8.0301369863013701</v>
      </c>
      <c r="C129">
        <v>2.2499999999999999E-2</v>
      </c>
      <c r="D129">
        <v>100.94497282608695</v>
      </c>
      <c r="E129">
        <v>2.2669999999999999E-2</v>
      </c>
      <c r="G129" s="2">
        <f t="shared" si="9"/>
        <v>42870</v>
      </c>
      <c r="H129" s="2">
        <f t="shared" si="10"/>
        <v>43054</v>
      </c>
      <c r="I129">
        <f t="shared" si="11"/>
        <v>1.0699728260869565</v>
      </c>
      <c r="J129" s="1">
        <f>IFERROR(getBondPrice($A$1,A129,C129,100,$W$3,$W$4,$W$5,$W$6,$W$7), 100000)</f>
        <v>101.5601451343927</v>
      </c>
      <c r="K129" s="1">
        <f t="shared" si="12"/>
        <v>2.1830379708651419E-2</v>
      </c>
      <c r="L129">
        <f t="shared" si="13"/>
        <v>0.61517230830574476</v>
      </c>
      <c r="M129">
        <f t="shared" si="14"/>
        <v>0.61517230830574476</v>
      </c>
      <c r="N129">
        <f t="shared" si="15"/>
        <v>-8.3962029134857993E-4</v>
      </c>
      <c r="O129">
        <f t="shared" si="16"/>
        <v>8.3962029134857993E-4</v>
      </c>
      <c r="AD129">
        <f t="shared" si="17"/>
        <v>2.1904676661839616E-2</v>
      </c>
    </row>
    <row r="130" spans="1:30" x14ac:dyDescent="0.2">
      <c r="A130" s="2">
        <v>46068</v>
      </c>
      <c r="B130" s="3">
        <v>8.2821917808219183</v>
      </c>
      <c r="C130">
        <v>1.6250000000000001E-2</v>
      </c>
      <c r="D130">
        <v>95.397808152173909</v>
      </c>
      <c r="E130">
        <v>2.2869999999999998E-2</v>
      </c>
      <c r="G130" s="2">
        <f t="shared" si="9"/>
        <v>42962</v>
      </c>
      <c r="H130" s="2">
        <f t="shared" si="10"/>
        <v>43146</v>
      </c>
      <c r="I130">
        <f t="shared" si="11"/>
        <v>0.36650815217391303</v>
      </c>
      <c r="J130" s="1">
        <f>IFERROR(getBondPrice($A$1,A130,C130,100,$W$3,$W$4,$W$5,$W$6,$W$7), 100000)</f>
        <v>96.014965490171818</v>
      </c>
      <c r="K130" s="1">
        <f t="shared" si="12"/>
        <v>2.2030257942777225E-2</v>
      </c>
      <c r="L130">
        <f t="shared" si="13"/>
        <v>0.61715733799790939</v>
      </c>
      <c r="M130">
        <f t="shared" si="14"/>
        <v>0.61715733799790939</v>
      </c>
      <c r="N130">
        <f t="shared" si="15"/>
        <v>-8.3974205722277262E-4</v>
      </c>
      <c r="O130">
        <f t="shared" si="16"/>
        <v>8.3974205722277262E-4</v>
      </c>
      <c r="AD130">
        <f t="shared" si="17"/>
        <v>2.2049012311248908E-2</v>
      </c>
    </row>
    <row r="131" spans="1:30" x14ac:dyDescent="0.2">
      <c r="A131" s="2">
        <v>46157</v>
      </c>
      <c r="B131" s="3">
        <v>8.5260273972602736</v>
      </c>
      <c r="C131">
        <v>1.6250000000000001E-2</v>
      </c>
      <c r="D131">
        <v>95.577458152173904</v>
      </c>
      <c r="E131">
        <v>2.3E-2</v>
      </c>
      <c r="G131" s="2">
        <f t="shared" ref="G131:G182" si="18">COUPPCD($A$1,A131,2,1)</f>
        <v>42870</v>
      </c>
      <c r="H131" s="2">
        <f t="shared" ref="H131:H182" si="19">COUPNCD($A$1,A131,2,1)</f>
        <v>43054</v>
      </c>
      <c r="I131">
        <f t="shared" ref="I131:I182" si="20">100*C131/2*($A$1-G131)/(H131-G131)</f>
        <v>0.77275815217391308</v>
      </c>
      <c r="J131" s="1">
        <f>IFERROR(getBondPrice($A$1,A131,C131,100,$W$3,$W$4,$W$5,$W$6,$W$7), 100000)</f>
        <v>96.2157814778503</v>
      </c>
      <c r="K131" s="1">
        <f t="shared" ref="K131:K182" si="21">IFERROR(YIELD($A$1,A131,C131,J131-I131,100,2,1),-2)</f>
        <v>2.2145399406987003E-2</v>
      </c>
      <c r="L131">
        <f t="shared" ref="L131:L182" si="22">J131-D131</f>
        <v>0.63832332567639583</v>
      </c>
      <c r="M131">
        <f t="shared" ref="M131:M182" si="23">ABS(L131)</f>
        <v>0.63832332567639583</v>
      </c>
      <c r="N131">
        <f t="shared" ref="N131:N182" si="24">K131-E131</f>
        <v>-8.5460059301299685E-4</v>
      </c>
      <c r="O131">
        <f t="shared" ref="O131:O182" si="25">ABS(N131)</f>
        <v>8.5460059301299685E-4</v>
      </c>
      <c r="AD131">
        <f t="shared" si="17"/>
        <v>2.2183411681738579E-2</v>
      </c>
    </row>
    <row r="132" spans="1:30" x14ac:dyDescent="0.2">
      <c r="A132" s="2">
        <v>46249</v>
      </c>
      <c r="B132" s="3">
        <v>8.7780821917808218</v>
      </c>
      <c r="C132">
        <v>1.4999999999999999E-2</v>
      </c>
      <c r="D132">
        <v>93.932115217391299</v>
      </c>
      <c r="E132">
        <v>2.3109999999999999E-2</v>
      </c>
      <c r="G132" s="2">
        <f t="shared" si="18"/>
        <v>42962</v>
      </c>
      <c r="H132" s="2">
        <f t="shared" si="19"/>
        <v>43146</v>
      </c>
      <c r="I132">
        <f t="shared" si="20"/>
        <v>0.33831521739130432</v>
      </c>
      <c r="J132" s="1">
        <f>IFERROR(getBondPrice($A$1,A132,C132,100,$W$3,$W$4,$W$5,$W$6,$W$7), 100000)</f>
        <v>94.554396979473907</v>
      </c>
      <c r="K132" s="1">
        <f t="shared" si="21"/>
        <v>2.2292724435301531E-2</v>
      </c>
      <c r="L132">
        <f t="shared" si="22"/>
        <v>0.62228176208260777</v>
      </c>
      <c r="M132">
        <f t="shared" si="23"/>
        <v>0.62228176208260777</v>
      </c>
      <c r="N132">
        <f t="shared" si="24"/>
        <v>-8.1727556469846779E-4</v>
      </c>
      <c r="O132">
        <f t="shared" si="25"/>
        <v>8.1727556469846779E-4</v>
      </c>
      <c r="AD132">
        <f t="shared" ref="AD132:AD182" si="26">spotRate($A$1,A132,$W$3,$W$4,$W$5,$W$6,$W$7)</f>
        <v>2.2317282627492292E-2</v>
      </c>
    </row>
    <row r="133" spans="1:30" x14ac:dyDescent="0.2">
      <c r="A133" s="2">
        <v>46341</v>
      </c>
      <c r="B133" s="3">
        <v>9.0301369863013701</v>
      </c>
      <c r="C133">
        <v>0.02</v>
      </c>
      <c r="D133">
        <v>98.372986956521729</v>
      </c>
      <c r="E133">
        <v>2.3179999999999999E-2</v>
      </c>
      <c r="G133" s="2">
        <f t="shared" si="18"/>
        <v>42870</v>
      </c>
      <c r="H133" s="2">
        <f t="shared" si="19"/>
        <v>43054</v>
      </c>
      <c r="I133">
        <f t="shared" si="20"/>
        <v>0.95108695652173914</v>
      </c>
      <c r="J133" s="1">
        <f>IFERROR(getBondPrice($A$1,A133,C133,100,$W$3,$W$4,$W$5,$W$6,$W$7), 100000)</f>
        <v>99.021263799328764</v>
      </c>
      <c r="K133" s="1">
        <f t="shared" si="21"/>
        <v>2.2373157534228954E-2</v>
      </c>
      <c r="L133">
        <f t="shared" si="22"/>
        <v>0.64827684280703579</v>
      </c>
      <c r="M133">
        <f t="shared" si="23"/>
        <v>0.64827684280703579</v>
      </c>
      <c r="N133">
        <f t="shared" si="24"/>
        <v>-8.0684246577104532E-4</v>
      </c>
      <c r="O133">
        <f t="shared" si="25"/>
        <v>8.0684246577104532E-4</v>
      </c>
      <c r="AD133">
        <f t="shared" si="26"/>
        <v>2.2446353249587946E-2</v>
      </c>
    </row>
    <row r="134" spans="1:30" x14ac:dyDescent="0.2">
      <c r="A134" s="2">
        <v>46433</v>
      </c>
      <c r="B134" s="3">
        <v>9.2821917808219183</v>
      </c>
      <c r="C134">
        <v>2.2499999999999999E-2</v>
      </c>
      <c r="D134">
        <v>99.843372826086949</v>
      </c>
      <c r="E134">
        <v>2.3300000000000001E-2</v>
      </c>
      <c r="G134" s="2">
        <f t="shared" si="18"/>
        <v>42962</v>
      </c>
      <c r="H134" s="2">
        <f t="shared" si="19"/>
        <v>43146</v>
      </c>
      <c r="I134">
        <f t="shared" si="20"/>
        <v>0.50747282608695654</v>
      </c>
      <c r="J134" s="1">
        <f>IFERROR(getBondPrice($A$1,A134,C134,100,$W$3,$W$4,$W$5,$W$6,$W$7), 100000)</f>
        <v>100.52846600654395</v>
      </c>
      <c r="K134" s="1">
        <f t="shared" si="21"/>
        <v>2.2472929247767701E-2</v>
      </c>
      <c r="L134">
        <f t="shared" si="22"/>
        <v>0.6850931804570024</v>
      </c>
      <c r="M134">
        <f t="shared" si="23"/>
        <v>0.6850931804570024</v>
      </c>
      <c r="N134">
        <f t="shared" si="24"/>
        <v>-8.2707075223229995E-4</v>
      </c>
      <c r="O134">
        <f t="shared" si="25"/>
        <v>8.2707075223229995E-4</v>
      </c>
      <c r="AD134">
        <f t="shared" si="26"/>
        <v>2.2570958740824387E-2</v>
      </c>
    </row>
    <row r="135" spans="1:30" x14ac:dyDescent="0.2">
      <c r="A135" s="2">
        <v>46522</v>
      </c>
      <c r="B135" s="3">
        <v>9.5260273972602736</v>
      </c>
      <c r="C135">
        <v>2.375E-2</v>
      </c>
      <c r="D135">
        <v>101.48101576086957</v>
      </c>
      <c r="E135">
        <v>2.334E-2</v>
      </c>
      <c r="G135" s="2">
        <f t="shared" si="18"/>
        <v>42870</v>
      </c>
      <c r="H135" s="2">
        <f t="shared" si="19"/>
        <v>43054</v>
      </c>
      <c r="I135">
        <f t="shared" si="20"/>
        <v>1.1294157608695652</v>
      </c>
      <c r="J135" s="1">
        <f>IFERROR(getBondPrice($A$1,A135,C135,100,$W$3,$W$4,$W$5,$W$6,$W$7), 100000)</f>
        <v>102.14538007809196</v>
      </c>
      <c r="K135" s="1">
        <f t="shared" si="21"/>
        <v>2.2558272151849783E-2</v>
      </c>
      <c r="L135">
        <f t="shared" si="22"/>
        <v>0.6643643172223932</v>
      </c>
      <c r="M135">
        <f t="shared" si="23"/>
        <v>0.6643643172223932</v>
      </c>
      <c r="N135">
        <f t="shared" si="24"/>
        <v>-7.8172784815021615E-4</v>
      </c>
      <c r="O135">
        <f t="shared" si="25"/>
        <v>7.8172784815021615E-4</v>
      </c>
      <c r="AD135">
        <f t="shared" si="26"/>
        <v>2.2687557220729321E-2</v>
      </c>
    </row>
    <row r="136" spans="1:30" x14ac:dyDescent="0.2">
      <c r="A136" s="2">
        <v>46614</v>
      </c>
      <c r="B136" s="3">
        <v>9.7780821917808218</v>
      </c>
      <c r="C136">
        <v>2.2499999999999999E-2</v>
      </c>
      <c r="D136">
        <v>99.718372826086949</v>
      </c>
      <c r="E136">
        <v>2.341E-2</v>
      </c>
      <c r="G136" s="2">
        <f t="shared" si="18"/>
        <v>42962</v>
      </c>
      <c r="H136" s="2">
        <f t="shared" si="19"/>
        <v>43146</v>
      </c>
      <c r="I136">
        <f t="shared" si="20"/>
        <v>0.50747282608695654</v>
      </c>
      <c r="J136" s="1">
        <f>IFERROR(getBondPrice($A$1,A136,C136,100,$W$3,$W$4,$W$5,$W$6,$W$7), 100000)</f>
        <v>100.34318158639634</v>
      </c>
      <c r="K136" s="1">
        <f t="shared" si="21"/>
        <v>2.2686553310373708E-2</v>
      </c>
      <c r="L136">
        <f t="shared" si="22"/>
        <v>0.62480876030939214</v>
      </c>
      <c r="M136">
        <f t="shared" si="23"/>
        <v>0.62480876030939214</v>
      </c>
      <c r="N136">
        <f t="shared" si="24"/>
        <v>-7.2344668962629269E-4</v>
      </c>
      <c r="O136">
        <f t="shared" si="25"/>
        <v>7.2344668962629269E-4</v>
      </c>
      <c r="AD136">
        <f t="shared" si="26"/>
        <v>2.2804314325920765E-2</v>
      </c>
    </row>
    <row r="137" spans="1:30" x14ac:dyDescent="0.2">
      <c r="A137" s="2">
        <v>46980</v>
      </c>
      <c r="B137" s="3">
        <v>10.780821917808218</v>
      </c>
      <c r="C137">
        <v>5.5E-2</v>
      </c>
      <c r="D137">
        <v>131.25608913043479</v>
      </c>
      <c r="E137">
        <v>2.3330000000000004E-2</v>
      </c>
      <c r="G137" s="2">
        <f t="shared" si="18"/>
        <v>42962</v>
      </c>
      <c r="H137" s="2">
        <f t="shared" si="19"/>
        <v>43146</v>
      </c>
      <c r="I137">
        <f t="shared" si="20"/>
        <v>1.2404891304347827</v>
      </c>
      <c r="J137" s="1">
        <f>IFERROR(getBondPrice($A$1,A137,C137,100,$W$3,$W$4,$W$5,$W$6,$W$7), 100000)</f>
        <v>131.8474827603429</v>
      </c>
      <c r="K137" s="1">
        <f t="shared" si="21"/>
        <v>2.2796781203358169E-2</v>
      </c>
      <c r="L137">
        <f t="shared" si="22"/>
        <v>0.59139362990811151</v>
      </c>
      <c r="M137">
        <f t="shared" si="23"/>
        <v>0.59139362990811151</v>
      </c>
      <c r="N137">
        <f t="shared" si="24"/>
        <v>-5.3321879664183433E-4</v>
      </c>
      <c r="O137">
        <f t="shared" si="25"/>
        <v>5.3321879664183433E-4</v>
      </c>
      <c r="AD137">
        <f t="shared" si="26"/>
        <v>2.3236617968696031E-2</v>
      </c>
    </row>
    <row r="138" spans="1:30" x14ac:dyDescent="0.2">
      <c r="A138" s="2">
        <v>47072</v>
      </c>
      <c r="B138" s="3">
        <v>11.032876712328767</v>
      </c>
      <c r="C138">
        <v>5.2499999999999998E-2</v>
      </c>
      <c r="D138">
        <v>130.66850326086956</v>
      </c>
      <c r="E138">
        <v>2.3370000000000002E-2</v>
      </c>
      <c r="G138" s="2">
        <f t="shared" si="18"/>
        <v>42870</v>
      </c>
      <c r="H138" s="2">
        <f t="shared" si="19"/>
        <v>43054</v>
      </c>
      <c r="I138">
        <f t="shared" si="20"/>
        <v>2.4966032608695654</v>
      </c>
      <c r="J138" s="1">
        <f>IFERROR(getBondPrice($A$1,A138,C138,100,$W$3,$W$4,$W$5,$W$6,$W$7), 100000)</f>
        <v>131.1783411356169</v>
      </c>
      <c r="K138" s="1">
        <f t="shared" si="21"/>
        <v>2.2911054408488236E-2</v>
      </c>
      <c r="L138">
        <f t="shared" si="22"/>
        <v>0.50983787474734754</v>
      </c>
      <c r="M138">
        <f t="shared" si="23"/>
        <v>0.50983787474734754</v>
      </c>
      <c r="N138">
        <f t="shared" si="24"/>
        <v>-4.5894559151176545E-4</v>
      </c>
      <c r="O138">
        <f t="shared" si="25"/>
        <v>4.5894559151176545E-4</v>
      </c>
      <c r="AD138">
        <f t="shared" si="26"/>
        <v>2.3338560895096564E-2</v>
      </c>
    </row>
    <row r="139" spans="1:30" x14ac:dyDescent="0.2">
      <c r="A139" s="2">
        <v>47164</v>
      </c>
      <c r="B139" s="3">
        <v>11.284931506849315</v>
      </c>
      <c r="C139">
        <v>5.2499999999999998E-2</v>
      </c>
      <c r="D139">
        <v>129.80130326086956</v>
      </c>
      <c r="E139">
        <v>2.3460000000000002E-2</v>
      </c>
      <c r="G139" s="2">
        <f t="shared" si="18"/>
        <v>42962</v>
      </c>
      <c r="H139" s="2">
        <f t="shared" si="19"/>
        <v>43146</v>
      </c>
      <c r="I139">
        <f t="shared" si="20"/>
        <v>1.1841032608695652</v>
      </c>
      <c r="J139" s="1">
        <f>IFERROR(getBondPrice($A$1,A139,C139,100,$W$3,$W$4,$W$5,$W$6,$W$7), 100000)</f>
        <v>130.32613859376821</v>
      </c>
      <c r="K139" s="1">
        <f t="shared" si="21"/>
        <v>2.3004180277000338E-2</v>
      </c>
      <c r="L139">
        <f t="shared" si="22"/>
        <v>0.52483533289864681</v>
      </c>
      <c r="M139">
        <f t="shared" si="23"/>
        <v>0.52483533289864681</v>
      </c>
      <c r="N139">
        <f t="shared" si="24"/>
        <v>-4.5581972299966328E-4</v>
      </c>
      <c r="O139">
        <f t="shared" si="25"/>
        <v>4.5581972299966328E-4</v>
      </c>
      <c r="AD139">
        <f t="shared" si="26"/>
        <v>2.3438313894863269E-2</v>
      </c>
    </row>
    <row r="140" spans="1:30" x14ac:dyDescent="0.2">
      <c r="A140" s="2">
        <v>47345</v>
      </c>
      <c r="B140" s="3">
        <v>11.780821917808218</v>
      </c>
      <c r="C140">
        <v>6.1249999999999999E-2</v>
      </c>
      <c r="D140">
        <v>139.9830538043478</v>
      </c>
      <c r="E140">
        <v>2.3519999999999999E-2</v>
      </c>
      <c r="G140" s="2">
        <f t="shared" si="18"/>
        <v>42962</v>
      </c>
      <c r="H140" s="2">
        <f t="shared" si="19"/>
        <v>43146</v>
      </c>
      <c r="I140">
        <f t="shared" si="20"/>
        <v>1.3814538043478262</v>
      </c>
      <c r="J140" s="1">
        <f>IFERROR(getBondPrice($A$1,A140,C140,100,$W$3,$W$4,$W$5,$W$6,$W$7), 100000)</f>
        <v>140.51504614212425</v>
      </c>
      <c r="K140" s="1">
        <f t="shared" si="21"/>
        <v>2.309572269294468E-2</v>
      </c>
      <c r="L140">
        <f t="shared" si="22"/>
        <v>0.53199233777644395</v>
      </c>
      <c r="M140">
        <f t="shared" si="23"/>
        <v>0.53199233777644395</v>
      </c>
      <c r="N140">
        <f t="shared" si="24"/>
        <v>-4.2427730705531935E-4</v>
      </c>
      <c r="O140">
        <f t="shared" si="25"/>
        <v>4.2427730705531935E-4</v>
      </c>
      <c r="AD140">
        <f t="shared" si="26"/>
        <v>2.3629081279024616E-2</v>
      </c>
    </row>
    <row r="141" spans="1:30" x14ac:dyDescent="0.2">
      <c r="A141" s="2">
        <v>47618</v>
      </c>
      <c r="B141" s="3">
        <v>12.528767123287672</v>
      </c>
      <c r="C141">
        <v>6.25E-2</v>
      </c>
      <c r="D141">
        <v>144.75344673913042</v>
      </c>
      <c r="E141">
        <v>2.3740000000000001E-2</v>
      </c>
      <c r="G141" s="2">
        <f t="shared" si="18"/>
        <v>42870</v>
      </c>
      <c r="H141" s="2">
        <f t="shared" si="19"/>
        <v>43054</v>
      </c>
      <c r="I141">
        <f t="shared" si="20"/>
        <v>2.9721467391304346</v>
      </c>
      <c r="J141" s="1">
        <f>IFERROR(getBondPrice($A$1,A141,C141,100,$W$3,$W$4,$W$5,$W$6,$W$7), 100000)</f>
        <v>145.30762813380994</v>
      </c>
      <c r="K141" s="1">
        <f t="shared" si="21"/>
        <v>2.3324351737443814E-2</v>
      </c>
      <c r="L141">
        <f t="shared" si="22"/>
        <v>0.55418139467951733</v>
      </c>
      <c r="M141">
        <f t="shared" si="23"/>
        <v>0.55418139467951733</v>
      </c>
      <c r="N141">
        <f t="shared" si="24"/>
        <v>-4.1564826255618623E-4</v>
      </c>
      <c r="O141">
        <f t="shared" si="25"/>
        <v>4.1564826255618623E-4</v>
      </c>
      <c r="AD141">
        <f t="shared" si="26"/>
        <v>2.3906180841216422E-2</v>
      </c>
    </row>
    <row r="142" spans="1:30" x14ac:dyDescent="0.2">
      <c r="A142" s="2">
        <v>47894</v>
      </c>
      <c r="B142" s="3">
        <v>13.284931506849315</v>
      </c>
      <c r="C142">
        <v>5.3749999999999999E-2</v>
      </c>
      <c r="D142">
        <v>135.05609619565217</v>
      </c>
      <c r="E142">
        <v>2.3849999999999996E-2</v>
      </c>
      <c r="G142" s="2">
        <f t="shared" si="18"/>
        <v>42962</v>
      </c>
      <c r="H142" s="2">
        <f t="shared" si="19"/>
        <v>43146</v>
      </c>
      <c r="I142">
        <f t="shared" si="20"/>
        <v>1.2122961956521738</v>
      </c>
      <c r="J142" s="1">
        <f>IFERROR(getBondPrice($A$1,A142,C142,100,$W$3,$W$4,$W$5,$W$6,$W$7), 100000)</f>
        <v>135.33735453371619</v>
      </c>
      <c r="K142" s="1">
        <f t="shared" si="21"/>
        <v>2.364388412458255E-2</v>
      </c>
      <c r="L142">
        <f t="shared" si="22"/>
        <v>0.28125833806402056</v>
      </c>
      <c r="M142">
        <f t="shared" si="23"/>
        <v>0.28125833806402056</v>
      </c>
      <c r="N142">
        <f t="shared" si="24"/>
        <v>-2.0611587541744664E-4</v>
      </c>
      <c r="O142">
        <f t="shared" si="25"/>
        <v>2.0611587541744664E-4</v>
      </c>
      <c r="AD142">
        <f t="shared" si="26"/>
        <v>2.4177861329722619E-2</v>
      </c>
    </row>
    <row r="143" spans="1:30" x14ac:dyDescent="0.2">
      <c r="A143" s="2">
        <v>49720</v>
      </c>
      <c r="B143" s="3">
        <v>18.287671232876711</v>
      </c>
      <c r="C143">
        <v>4.4999999999999998E-2</v>
      </c>
      <c r="D143">
        <v>130.09304565217391</v>
      </c>
      <c r="E143">
        <v>2.5070000000000002E-2</v>
      </c>
      <c r="G143" s="2">
        <f t="shared" si="18"/>
        <v>42962</v>
      </c>
      <c r="H143" s="2">
        <f t="shared" si="19"/>
        <v>43146</v>
      </c>
      <c r="I143">
        <f t="shared" si="20"/>
        <v>1.0149456521739131</v>
      </c>
      <c r="J143" s="1">
        <f>IFERROR(getBondPrice($A$1,A143,C143,100,$W$3,$W$4,$W$5,$W$6,$W$7), 100000)</f>
        <v>129.79253564943684</v>
      </c>
      <c r="K143" s="1">
        <f t="shared" si="21"/>
        <v>2.5242392260765405E-2</v>
      </c>
      <c r="L143">
        <f t="shared" si="22"/>
        <v>-0.30051000273707018</v>
      </c>
      <c r="M143">
        <f t="shared" si="23"/>
        <v>0.30051000273707018</v>
      </c>
      <c r="N143">
        <f t="shared" si="24"/>
        <v>1.7239226076540271E-4</v>
      </c>
      <c r="O143">
        <f t="shared" si="25"/>
        <v>1.7239226076540271E-4</v>
      </c>
      <c r="AD143">
        <f t="shared" si="26"/>
        <v>2.5986580164265145E-2</v>
      </c>
    </row>
    <row r="144" spans="1:30" x14ac:dyDescent="0.2">
      <c r="A144" s="2">
        <v>50086</v>
      </c>
      <c r="B144" s="3">
        <v>19.290410958904111</v>
      </c>
      <c r="C144">
        <v>4.7500000000000001E-2</v>
      </c>
      <c r="D144">
        <v>134.39163152173913</v>
      </c>
      <c r="E144">
        <v>2.5510000000000001E-2</v>
      </c>
      <c r="G144" s="2">
        <f t="shared" si="18"/>
        <v>42962</v>
      </c>
      <c r="H144" s="2">
        <f t="shared" si="19"/>
        <v>43146</v>
      </c>
      <c r="I144">
        <f t="shared" si="20"/>
        <v>1.0713315217391304</v>
      </c>
      <c r="J144" s="1">
        <f>IFERROR(getBondPrice($A$1,A144,C144,100,$W$3,$W$4,$W$5,$W$6,$W$7), 100000)</f>
        <v>134.38879135064141</v>
      </c>
      <c r="K144" s="1">
        <f t="shared" si="21"/>
        <v>2.5507829748016107E-2</v>
      </c>
      <c r="L144">
        <f t="shared" si="22"/>
        <v>-2.840171097716393E-3</v>
      </c>
      <c r="M144">
        <f t="shared" si="23"/>
        <v>2.840171097716393E-3</v>
      </c>
      <c r="N144">
        <f t="shared" si="24"/>
        <v>-2.1702519838948109E-6</v>
      </c>
      <c r="O144">
        <f t="shared" si="25"/>
        <v>2.1702519838948109E-6</v>
      </c>
      <c r="AD144">
        <f t="shared" si="26"/>
        <v>2.6366028730783916E-2</v>
      </c>
    </row>
    <row r="145" spans="1:30" x14ac:dyDescent="0.2">
      <c r="A145" s="2">
        <v>50175</v>
      </c>
      <c r="B145" s="3">
        <v>19.534246575342465</v>
      </c>
      <c r="C145">
        <v>0.05</v>
      </c>
      <c r="D145">
        <v>139.62771739130434</v>
      </c>
      <c r="E145">
        <v>2.563E-2</v>
      </c>
      <c r="G145" s="2">
        <f t="shared" si="18"/>
        <v>42870</v>
      </c>
      <c r="H145" s="2">
        <f t="shared" si="19"/>
        <v>43054</v>
      </c>
      <c r="I145">
        <f t="shared" si="20"/>
        <v>2.3777173913043477</v>
      </c>
      <c r="J145" s="1">
        <f>IFERROR(getBondPrice($A$1,A145,C145,100,$W$3,$W$4,$W$5,$W$6,$W$7), 100000)</f>
        <v>139.80171108555419</v>
      </c>
      <c r="K145" s="1">
        <f t="shared" si="21"/>
        <v>2.5537980996814987E-2</v>
      </c>
      <c r="L145">
        <f t="shared" si="22"/>
        <v>0.17399369424984457</v>
      </c>
      <c r="M145">
        <f t="shared" si="23"/>
        <v>0.17399369424984457</v>
      </c>
      <c r="N145">
        <f t="shared" si="24"/>
        <v>-9.2019003185013493E-5</v>
      </c>
      <c r="O145">
        <f t="shared" si="25"/>
        <v>9.2019003185013493E-5</v>
      </c>
      <c r="AD145">
        <f t="shared" si="26"/>
        <v>2.645833128968628E-2</v>
      </c>
    </row>
    <row r="146" spans="1:30" x14ac:dyDescent="0.2">
      <c r="A146" s="2">
        <v>50451</v>
      </c>
      <c r="B146" s="3">
        <v>20.290410958904111</v>
      </c>
      <c r="C146">
        <v>4.3749999999999997E-2</v>
      </c>
      <c r="D146">
        <v>128.68985271739132</v>
      </c>
      <c r="E146">
        <v>2.6070000000000003E-2</v>
      </c>
      <c r="G146" s="2">
        <f t="shared" si="18"/>
        <v>42962</v>
      </c>
      <c r="H146" s="2">
        <f t="shared" si="19"/>
        <v>43146</v>
      </c>
      <c r="I146">
        <f t="shared" si="20"/>
        <v>0.98675271739130432</v>
      </c>
      <c r="J146" s="1">
        <f>IFERROR(getBondPrice($A$1,A146,C146,100,$W$3,$W$4,$W$5,$W$6,$W$7), 100000)</f>
        <v>129.08063902801561</v>
      </c>
      <c r="K146" s="1">
        <f t="shared" si="21"/>
        <v>2.5855800042940046E-2</v>
      </c>
      <c r="L146">
        <f t="shared" si="22"/>
        <v>0.39078631062429281</v>
      </c>
      <c r="M146">
        <f t="shared" si="23"/>
        <v>0.39078631062429281</v>
      </c>
      <c r="N146">
        <f t="shared" si="24"/>
        <v>-2.1419995705995731E-4</v>
      </c>
      <c r="O146">
        <f t="shared" si="25"/>
        <v>2.1419995705995731E-4</v>
      </c>
      <c r="AD146">
        <f t="shared" si="26"/>
        <v>2.6742802358800954E-2</v>
      </c>
    </row>
    <row r="147" spans="1:30" x14ac:dyDescent="0.2">
      <c r="A147" s="2">
        <v>50540</v>
      </c>
      <c r="B147" s="3">
        <v>20.534246575342465</v>
      </c>
      <c r="C147">
        <v>4.4999999999999998E-2</v>
      </c>
      <c r="D147">
        <v>131.96024565217391</v>
      </c>
      <c r="E147">
        <v>2.614E-2</v>
      </c>
      <c r="G147" s="2">
        <f t="shared" si="18"/>
        <v>42870</v>
      </c>
      <c r="H147" s="2">
        <f t="shared" si="19"/>
        <v>43054</v>
      </c>
      <c r="I147">
        <f t="shared" si="20"/>
        <v>2.1399456521739131</v>
      </c>
      <c r="J147" s="1">
        <f>IFERROR(getBondPrice($A$1,A147,C147,100,$W$3,$W$4,$W$5,$W$6,$W$7), 100000)</f>
        <v>132.39841954785206</v>
      </c>
      <c r="K147" s="1">
        <f t="shared" si="21"/>
        <v>2.5899882063532199E-2</v>
      </c>
      <c r="L147">
        <f t="shared" si="22"/>
        <v>0.43817389567814757</v>
      </c>
      <c r="M147">
        <f t="shared" si="23"/>
        <v>0.43817389567814757</v>
      </c>
      <c r="N147">
        <f t="shared" si="24"/>
        <v>-2.4011793646780064E-4</v>
      </c>
      <c r="O147">
        <f t="shared" si="25"/>
        <v>2.4011793646780064E-4</v>
      </c>
      <c r="AD147">
        <f t="shared" si="26"/>
        <v>2.6833515532884503E-2</v>
      </c>
    </row>
    <row r="148" spans="1:30" x14ac:dyDescent="0.2">
      <c r="A148" s="2">
        <v>50816</v>
      </c>
      <c r="B148" s="3">
        <v>21.290410958904111</v>
      </c>
      <c r="C148">
        <v>3.5000000000000003E-2</v>
      </c>
      <c r="D148">
        <v>114.43000217391305</v>
      </c>
      <c r="E148">
        <v>2.656E-2</v>
      </c>
      <c r="G148" s="2">
        <f t="shared" si="18"/>
        <v>42962</v>
      </c>
      <c r="H148" s="2">
        <f t="shared" si="19"/>
        <v>43146</v>
      </c>
      <c r="I148">
        <f t="shared" si="20"/>
        <v>0.78940217391304368</v>
      </c>
      <c r="J148" s="1">
        <f>IFERROR(getBondPrice($A$1,A148,C148,100,$W$3,$W$4,$W$5,$W$6,$W$7), 100000)</f>
        <v>114.89774477296019</v>
      </c>
      <c r="K148" s="1">
        <f t="shared" si="21"/>
        <v>2.6297153467660213E-2</v>
      </c>
      <c r="L148">
        <f t="shared" si="22"/>
        <v>0.46774259904714199</v>
      </c>
      <c r="M148">
        <f t="shared" si="23"/>
        <v>0.46774259904714199</v>
      </c>
      <c r="N148">
        <f t="shared" si="24"/>
        <v>-2.6284653233978744E-4</v>
      </c>
      <c r="O148">
        <f t="shared" si="25"/>
        <v>2.6284653233978744E-4</v>
      </c>
      <c r="AD148">
        <f t="shared" si="26"/>
        <v>2.7109411247707563E-2</v>
      </c>
    </row>
    <row r="149" spans="1:30" x14ac:dyDescent="0.2">
      <c r="A149" s="2">
        <v>50905</v>
      </c>
      <c r="B149" s="3">
        <v>21.534246575342465</v>
      </c>
      <c r="C149">
        <v>4.2500000000000003E-2</v>
      </c>
      <c r="D149">
        <v>127.8882597826087</v>
      </c>
      <c r="E149">
        <v>2.6629999999999997E-2</v>
      </c>
      <c r="G149" s="2">
        <f t="shared" si="18"/>
        <v>42870</v>
      </c>
      <c r="H149" s="2">
        <f t="shared" si="19"/>
        <v>43054</v>
      </c>
      <c r="I149">
        <f t="shared" si="20"/>
        <v>2.0210597826086958</v>
      </c>
      <c r="J149" s="1">
        <f>IFERROR(getBondPrice($A$1,A149,C149,100,$W$3,$W$4,$W$5,$W$6,$W$7), 100000)</f>
        <v>128.66934605545669</v>
      </c>
      <c r="K149" s="1">
        <f t="shared" si="21"/>
        <v>2.6219817999303827E-2</v>
      </c>
      <c r="L149">
        <f t="shared" si="22"/>
        <v>0.78108627284798615</v>
      </c>
      <c r="M149">
        <f t="shared" si="23"/>
        <v>0.78108627284798615</v>
      </c>
      <c r="N149">
        <f t="shared" si="24"/>
        <v>-4.1018200069617081E-4</v>
      </c>
      <c r="O149">
        <f t="shared" si="25"/>
        <v>4.1018200069617081E-4</v>
      </c>
      <c r="AD149">
        <f t="shared" si="26"/>
        <v>2.7196046556400618E-2</v>
      </c>
    </row>
    <row r="150" spans="1:30" x14ac:dyDescent="0.2">
      <c r="A150" s="2">
        <v>50997</v>
      </c>
      <c r="B150" s="3">
        <v>21.786301369863015</v>
      </c>
      <c r="C150">
        <v>4.4999999999999998E-2</v>
      </c>
      <c r="D150">
        <v>131.10874565217389</v>
      </c>
      <c r="E150">
        <v>2.6690000000000002E-2</v>
      </c>
      <c r="G150" s="2">
        <f t="shared" si="18"/>
        <v>42962</v>
      </c>
      <c r="H150" s="2">
        <f t="shared" si="19"/>
        <v>43146</v>
      </c>
      <c r="I150">
        <f t="shared" si="20"/>
        <v>1.0149456521739131</v>
      </c>
      <c r="J150" s="1">
        <f>IFERROR(getBondPrice($A$1,A150,C150,100,$W$3,$W$4,$W$5,$W$6,$W$7), 100000)</f>
        <v>131.96480277185461</v>
      </c>
      <c r="K150" s="1">
        <f t="shared" si="21"/>
        <v>2.6246893142624156E-2</v>
      </c>
      <c r="L150">
        <f t="shared" si="22"/>
        <v>0.85605711968071319</v>
      </c>
      <c r="M150">
        <f t="shared" si="23"/>
        <v>0.85605711968071319</v>
      </c>
      <c r="N150">
        <f t="shared" si="24"/>
        <v>-4.4310685737584607E-4</v>
      </c>
      <c r="O150">
        <f t="shared" si="25"/>
        <v>4.4310685737584607E-4</v>
      </c>
      <c r="AD150">
        <f t="shared" si="26"/>
        <v>2.7284079373564411E-2</v>
      </c>
    </row>
    <row r="151" spans="1:30" x14ac:dyDescent="0.2">
      <c r="A151" s="2">
        <v>51089</v>
      </c>
      <c r="B151" s="3">
        <v>22.038356164383561</v>
      </c>
      <c r="C151">
        <v>4.3749999999999997E-2</v>
      </c>
      <c r="D151">
        <v>130.12740271739131</v>
      </c>
      <c r="E151">
        <v>2.681E-2</v>
      </c>
      <c r="G151" s="2">
        <f t="shared" si="18"/>
        <v>42870</v>
      </c>
      <c r="H151" s="2">
        <f t="shared" si="19"/>
        <v>43054</v>
      </c>
      <c r="I151">
        <f t="shared" si="20"/>
        <v>2.0805027173913042</v>
      </c>
      <c r="J151" s="1">
        <f>IFERROR(getBondPrice($A$1,A151,C151,100,$W$3,$W$4,$W$5,$W$6,$W$7), 100000)</f>
        <v>131.04431700609786</v>
      </c>
      <c r="K151" s="1">
        <f t="shared" si="21"/>
        <v>2.6334477046348975E-2</v>
      </c>
      <c r="L151">
        <f t="shared" si="22"/>
        <v>0.91691428870655045</v>
      </c>
      <c r="M151">
        <f t="shared" si="23"/>
        <v>0.91691428870655045</v>
      </c>
      <c r="N151">
        <f t="shared" si="24"/>
        <v>-4.7552295365102526E-4</v>
      </c>
      <c r="O151">
        <f t="shared" si="25"/>
        <v>4.7552295365102526E-4</v>
      </c>
      <c r="AD151">
        <f t="shared" si="26"/>
        <v>2.7370348948116227E-2</v>
      </c>
    </row>
    <row r="152" spans="1:30" x14ac:dyDescent="0.2">
      <c r="A152" s="2">
        <v>51181</v>
      </c>
      <c r="B152" s="3">
        <v>22.290410958904111</v>
      </c>
      <c r="C152">
        <v>4.6249999999999999E-2</v>
      </c>
      <c r="D152">
        <v>133.44943858695652</v>
      </c>
      <c r="E152">
        <v>2.683E-2</v>
      </c>
      <c r="G152" s="2">
        <f t="shared" si="18"/>
        <v>42962</v>
      </c>
      <c r="H152" s="2">
        <f t="shared" si="19"/>
        <v>43146</v>
      </c>
      <c r="I152">
        <f t="shared" si="20"/>
        <v>1.0431385869565217</v>
      </c>
      <c r="J152" s="1">
        <f>IFERROR(getBondPrice($A$1,A152,C152,100,$W$3,$W$4,$W$5,$W$6,$W$7), 100000)</f>
        <v>134.39108681854376</v>
      </c>
      <c r="K152" s="1">
        <f t="shared" si="21"/>
        <v>2.6358145957286635E-2</v>
      </c>
      <c r="L152">
        <f t="shared" si="22"/>
        <v>0.94164823158723721</v>
      </c>
      <c r="M152">
        <f t="shared" si="23"/>
        <v>0.94164823158723721</v>
      </c>
      <c r="N152">
        <f t="shared" si="24"/>
        <v>-4.7185404271336481E-4</v>
      </c>
      <c r="O152">
        <f t="shared" si="25"/>
        <v>4.7185404271336481E-4</v>
      </c>
      <c r="AD152">
        <f t="shared" si="26"/>
        <v>2.7454626862909629E-2</v>
      </c>
    </row>
    <row r="153" spans="1:30" x14ac:dyDescent="0.2">
      <c r="A153" s="2">
        <v>51271</v>
      </c>
      <c r="B153" s="3">
        <v>22.536986301369861</v>
      </c>
      <c r="C153">
        <v>4.3749999999999997E-2</v>
      </c>
      <c r="D153">
        <v>130.3071027173913</v>
      </c>
      <c r="E153">
        <v>2.6949999999999998E-2</v>
      </c>
      <c r="G153" s="2">
        <f t="shared" si="18"/>
        <v>42870</v>
      </c>
      <c r="H153" s="2">
        <f t="shared" si="19"/>
        <v>43054</v>
      </c>
      <c r="I153">
        <f t="shared" si="20"/>
        <v>2.0805027173913042</v>
      </c>
      <c r="J153" s="1">
        <f>IFERROR(getBondPrice($A$1,A153,C153,100,$W$3,$W$4,$W$5,$W$6,$W$7), 100000)</f>
        <v>131.27910631356906</v>
      </c>
      <c r="K153" s="1">
        <f t="shared" si="21"/>
        <v>2.6459153286766422E-2</v>
      </c>
      <c r="L153">
        <f t="shared" si="22"/>
        <v>0.97200359617775689</v>
      </c>
      <c r="M153">
        <f t="shared" si="23"/>
        <v>0.97200359617775689</v>
      </c>
      <c r="N153">
        <f t="shared" si="24"/>
        <v>-4.9084671323357601E-4</v>
      </c>
      <c r="O153">
        <f t="shared" si="25"/>
        <v>4.9084671323357601E-4</v>
      </c>
      <c r="AD153">
        <f t="shared" si="26"/>
        <v>2.7534915609339003E-2</v>
      </c>
    </row>
    <row r="154" spans="1:30" x14ac:dyDescent="0.2">
      <c r="A154" s="2">
        <v>51363</v>
      </c>
      <c r="B154" s="3">
        <v>22.789041095890411</v>
      </c>
      <c r="C154">
        <v>3.875E-2</v>
      </c>
      <c r="D154">
        <v>120.56148097826087</v>
      </c>
      <c r="E154">
        <v>2.7109999999999999E-2</v>
      </c>
      <c r="G154" s="2">
        <f t="shared" si="18"/>
        <v>42962</v>
      </c>
      <c r="H154" s="2">
        <f t="shared" si="19"/>
        <v>43146</v>
      </c>
      <c r="I154">
        <f t="shared" si="20"/>
        <v>0.87398097826086951</v>
      </c>
      <c r="J154" s="1">
        <f>IFERROR(getBondPrice($A$1,A154,C154,100,$W$3,$W$4,$W$5,$W$6,$W$7), 100000)</f>
        <v>121.49237668696709</v>
      </c>
      <c r="K154" s="1">
        <f t="shared" si="21"/>
        <v>2.6616978274829627E-2</v>
      </c>
      <c r="L154">
        <f t="shared" si="22"/>
        <v>0.93089570870621685</v>
      </c>
      <c r="M154">
        <f t="shared" si="23"/>
        <v>0.93089570870621685</v>
      </c>
      <c r="N154">
        <f t="shared" si="24"/>
        <v>-4.9302172517037141E-4</v>
      </c>
      <c r="O154">
        <f t="shared" si="25"/>
        <v>4.9302172517037141E-4</v>
      </c>
      <c r="AD154">
        <f t="shared" si="26"/>
        <v>2.7614537947848277E-2</v>
      </c>
    </row>
    <row r="155" spans="1:30" x14ac:dyDescent="0.2">
      <c r="A155" s="2">
        <v>51455</v>
      </c>
      <c r="B155" s="3">
        <v>23.041095890410958</v>
      </c>
      <c r="C155">
        <v>4.2500000000000003E-2</v>
      </c>
      <c r="D155">
        <v>128.26325978260869</v>
      </c>
      <c r="E155">
        <v>2.7099999999999999E-2</v>
      </c>
      <c r="G155" s="2">
        <f t="shared" si="18"/>
        <v>42870</v>
      </c>
      <c r="H155" s="2">
        <f t="shared" si="19"/>
        <v>43054</v>
      </c>
      <c r="I155">
        <f t="shared" si="20"/>
        <v>2.0210597826086958</v>
      </c>
      <c r="J155" s="1">
        <f>IFERROR(getBondPrice($A$1,A155,C155,100,$W$3,$W$4,$W$5,$W$6,$W$7), 100000)</f>
        <v>129.25510596025188</v>
      </c>
      <c r="K155" s="1">
        <f t="shared" si="21"/>
        <v>2.6604841589196477E-2</v>
      </c>
      <c r="L155">
        <f t="shared" si="22"/>
        <v>0.99184617764319682</v>
      </c>
      <c r="M155">
        <f t="shared" si="23"/>
        <v>0.99184617764319682</v>
      </c>
      <c r="N155">
        <f t="shared" si="24"/>
        <v>-4.9515841080352216E-4</v>
      </c>
      <c r="O155">
        <f t="shared" si="25"/>
        <v>4.9515841080352216E-4</v>
      </c>
      <c r="AD155">
        <f t="shared" si="26"/>
        <v>2.7691423644104395E-2</v>
      </c>
    </row>
    <row r="156" spans="1:30" x14ac:dyDescent="0.2">
      <c r="A156" s="2">
        <v>51547</v>
      </c>
      <c r="B156" s="3">
        <v>23.293150684931508</v>
      </c>
      <c r="C156">
        <v>4.7500000000000001E-2</v>
      </c>
      <c r="D156">
        <v>136.20413152173913</v>
      </c>
      <c r="E156">
        <v>2.7060000000000001E-2</v>
      </c>
      <c r="G156" s="2">
        <f t="shared" si="18"/>
        <v>42962</v>
      </c>
      <c r="H156" s="2">
        <f t="shared" si="19"/>
        <v>43146</v>
      </c>
      <c r="I156">
        <f t="shared" si="20"/>
        <v>1.0713315217391304</v>
      </c>
      <c r="J156" s="1">
        <f>IFERROR(getBondPrice($A$1,A156,C156,100,$W$3,$W$4,$W$5,$W$6,$W$7), 100000)</f>
        <v>137.2144322291233</v>
      </c>
      <c r="K156" s="1">
        <f t="shared" si="21"/>
        <v>2.6574560452864528E-2</v>
      </c>
      <c r="L156">
        <f t="shared" si="22"/>
        <v>1.0103007073841752</v>
      </c>
      <c r="M156">
        <f t="shared" si="23"/>
        <v>1.0103007073841752</v>
      </c>
      <c r="N156">
        <f t="shared" si="24"/>
        <v>-4.8543954713547305E-4</v>
      </c>
      <c r="O156">
        <f t="shared" si="25"/>
        <v>4.8543954713547305E-4</v>
      </c>
      <c r="AD156">
        <f t="shared" si="26"/>
        <v>2.7765300835038441E-2</v>
      </c>
    </row>
    <row r="157" spans="1:30" x14ac:dyDescent="0.2">
      <c r="A157" s="2">
        <v>51636</v>
      </c>
      <c r="B157" s="3">
        <v>23.536986301369861</v>
      </c>
      <c r="C157">
        <v>4.3749999999999997E-2</v>
      </c>
      <c r="D157">
        <v>130.7446027173913</v>
      </c>
      <c r="E157">
        <v>2.7179999999999999E-2</v>
      </c>
      <c r="G157" s="2">
        <f t="shared" si="18"/>
        <v>42870</v>
      </c>
      <c r="H157" s="2">
        <f t="shared" si="19"/>
        <v>43054</v>
      </c>
      <c r="I157">
        <f t="shared" si="20"/>
        <v>2.0805027173913042</v>
      </c>
      <c r="J157" s="1">
        <f>IFERROR(getBondPrice($A$1,A157,C157,100,$W$3,$W$4,$W$5,$W$6,$W$7), 100000)</f>
        <v>131.74428795823079</v>
      </c>
      <c r="K157" s="1">
        <f t="shared" si="21"/>
        <v>2.6688642619827268E-2</v>
      </c>
      <c r="L157">
        <f t="shared" si="22"/>
        <v>0.99968524083948296</v>
      </c>
      <c r="M157">
        <f t="shared" si="23"/>
        <v>0.99968524083948296</v>
      </c>
      <c r="N157">
        <f t="shared" si="24"/>
        <v>-4.9135738017273139E-4</v>
      </c>
      <c r="O157">
        <f t="shared" si="25"/>
        <v>4.9135738017273139E-4</v>
      </c>
      <c r="AD157">
        <f t="shared" si="26"/>
        <v>2.7833639943854873E-2</v>
      </c>
    </row>
    <row r="158" spans="1:30" x14ac:dyDescent="0.2">
      <c r="A158" s="2">
        <v>51728</v>
      </c>
      <c r="B158" s="3">
        <v>23.789041095890411</v>
      </c>
      <c r="C158">
        <v>3.7499999999999999E-2</v>
      </c>
      <c r="D158">
        <v>118.56458804347827</v>
      </c>
      <c r="E158">
        <v>2.7320000000000001E-2</v>
      </c>
      <c r="G158" s="2">
        <f t="shared" si="18"/>
        <v>42962</v>
      </c>
      <c r="H158" s="2">
        <f t="shared" si="19"/>
        <v>43146</v>
      </c>
      <c r="I158">
        <f t="shared" si="20"/>
        <v>0.84578804347826086</v>
      </c>
      <c r="J158" s="1">
        <f>IFERROR(getBondPrice($A$1,A158,C158,100,$W$3,$W$4,$W$5,$W$6,$W$7), 100000)</f>
        <v>119.43659108449039</v>
      </c>
      <c r="K158" s="1">
        <f t="shared" si="21"/>
        <v>2.6866488981016439E-2</v>
      </c>
      <c r="L158">
        <f t="shared" si="22"/>
        <v>0.87200304101212112</v>
      </c>
      <c r="M158">
        <f t="shared" si="23"/>
        <v>0.87200304101212112</v>
      </c>
      <c r="N158">
        <f t="shared" si="24"/>
        <v>-4.5351101898356144E-4</v>
      </c>
      <c r="O158">
        <f t="shared" si="25"/>
        <v>4.5351101898356144E-4</v>
      </c>
      <c r="AD158">
        <f t="shared" si="26"/>
        <v>2.7900762499056559E-2</v>
      </c>
    </row>
    <row r="159" spans="1:30" x14ac:dyDescent="0.2">
      <c r="A159" s="2">
        <v>51820</v>
      </c>
      <c r="B159" s="3">
        <v>24.041095890410958</v>
      </c>
      <c r="C159">
        <v>3.125E-2</v>
      </c>
      <c r="D159">
        <v>108.05637336956522</v>
      </c>
      <c r="E159">
        <v>2.75E-2</v>
      </c>
      <c r="G159" s="2">
        <f t="shared" si="18"/>
        <v>42870</v>
      </c>
      <c r="H159" s="2">
        <f t="shared" si="19"/>
        <v>43054</v>
      </c>
      <c r="I159">
        <f t="shared" si="20"/>
        <v>1.4860733695652173</v>
      </c>
      <c r="J159" s="1">
        <f>IFERROR(getBondPrice($A$1,A159,C159,100,$W$3,$W$4,$W$5,$W$6,$W$7), 100000)</f>
        <v>108.85627859938873</v>
      </c>
      <c r="K159" s="1">
        <f t="shared" si="21"/>
        <v>2.7057561027115436E-2</v>
      </c>
      <c r="L159">
        <f t="shared" si="22"/>
        <v>0.79990522982350853</v>
      </c>
      <c r="M159">
        <f t="shared" si="23"/>
        <v>0.79990522982350853</v>
      </c>
      <c r="N159">
        <f t="shared" si="24"/>
        <v>-4.4243897288456444E-4</v>
      </c>
      <c r="O159">
        <f t="shared" si="25"/>
        <v>4.4243897288456444E-4</v>
      </c>
      <c r="AD159">
        <f t="shared" si="26"/>
        <v>2.7964005540424691E-2</v>
      </c>
    </row>
    <row r="160" spans="1:30" x14ac:dyDescent="0.2">
      <c r="A160" s="2">
        <v>51912</v>
      </c>
      <c r="B160" s="3">
        <v>24.293150684931508</v>
      </c>
      <c r="C160">
        <v>3.125E-2</v>
      </c>
      <c r="D160">
        <v>107.22822336956521</v>
      </c>
      <c r="E160">
        <v>2.7549999999999998E-2</v>
      </c>
      <c r="G160" s="2">
        <f t="shared" si="18"/>
        <v>42962</v>
      </c>
      <c r="H160" s="2">
        <f t="shared" si="19"/>
        <v>43146</v>
      </c>
      <c r="I160">
        <f t="shared" si="20"/>
        <v>0.70482336956521741</v>
      </c>
      <c r="J160" s="1">
        <f>IFERROR(getBondPrice($A$1,A160,C160,100,$W$3,$W$4,$W$5,$W$6,$W$7), 100000)</f>
        <v>108.03377919990173</v>
      </c>
      <c r="K160" s="1">
        <f t="shared" si="21"/>
        <v>2.710808816432337E-2</v>
      </c>
      <c r="L160">
        <f t="shared" si="22"/>
        <v>0.80555583033651601</v>
      </c>
      <c r="M160">
        <f t="shared" si="23"/>
        <v>0.80555583033651601</v>
      </c>
      <c r="N160">
        <f t="shared" si="24"/>
        <v>-4.4191183567662828E-4</v>
      </c>
      <c r="O160">
        <f t="shared" si="25"/>
        <v>4.4191183567662828E-4</v>
      </c>
      <c r="AD160">
        <f t="shared" si="26"/>
        <v>2.8023053877672576E-2</v>
      </c>
    </row>
    <row r="161" spans="1:30" x14ac:dyDescent="0.2">
      <c r="A161" s="2">
        <v>52001</v>
      </c>
      <c r="B161" s="3">
        <v>24.536986301369861</v>
      </c>
      <c r="C161">
        <v>0.03</v>
      </c>
      <c r="D161">
        <v>105.69223043478262</v>
      </c>
      <c r="E161">
        <v>2.759E-2</v>
      </c>
      <c r="G161" s="2">
        <f t="shared" si="18"/>
        <v>42870</v>
      </c>
      <c r="H161" s="2">
        <f t="shared" si="19"/>
        <v>43054</v>
      </c>
      <c r="I161">
        <f t="shared" si="20"/>
        <v>1.4266304347826086</v>
      </c>
      <c r="J161" s="1">
        <f>IFERROR(getBondPrice($A$1,A161,C161,100,$W$3,$W$4,$W$5,$W$6,$W$7), 100000)</f>
        <v>106.45627429610511</v>
      </c>
      <c r="K161" s="1">
        <f t="shared" si="21"/>
        <v>2.7176657194706331E-2</v>
      </c>
      <c r="L161">
        <f t="shared" si="22"/>
        <v>0.76404386132249158</v>
      </c>
      <c r="M161">
        <f t="shared" si="23"/>
        <v>0.76404386132249158</v>
      </c>
      <c r="N161">
        <f t="shared" si="24"/>
        <v>-4.1334280529366912E-4</v>
      </c>
      <c r="O161">
        <f t="shared" si="25"/>
        <v>4.1334280529366912E-4</v>
      </c>
      <c r="AD161">
        <f t="shared" si="26"/>
        <v>2.8075878090691831E-2</v>
      </c>
    </row>
    <row r="162" spans="1:30" x14ac:dyDescent="0.2">
      <c r="A162" s="2">
        <v>52093</v>
      </c>
      <c r="B162" s="3">
        <v>24.789041095890411</v>
      </c>
      <c r="C162">
        <v>2.75E-2</v>
      </c>
      <c r="D162">
        <v>100.23744456521739</v>
      </c>
      <c r="E162">
        <v>2.7709999999999999E-2</v>
      </c>
      <c r="G162" s="2">
        <f t="shared" si="18"/>
        <v>42962</v>
      </c>
      <c r="H162" s="2">
        <f t="shared" si="19"/>
        <v>43146</v>
      </c>
      <c r="I162">
        <f t="shared" si="20"/>
        <v>0.62024456521739135</v>
      </c>
      <c r="J162" s="1">
        <f>IFERROR(getBondPrice($A$1,A162,C162,100,$W$3,$W$4,$W$5,$W$6,$W$7), 100000)</f>
        <v>101.00368132774021</v>
      </c>
      <c r="K162" s="1">
        <f t="shared" si="21"/>
        <v>2.7284769061748253E-2</v>
      </c>
      <c r="L162">
        <f t="shared" si="22"/>
        <v>0.7662367625228228</v>
      </c>
      <c r="M162">
        <f t="shared" si="23"/>
        <v>0.7662367625228228</v>
      </c>
      <c r="N162">
        <f t="shared" si="24"/>
        <v>-4.2523093825174579E-4</v>
      </c>
      <c r="O162">
        <f t="shared" si="25"/>
        <v>4.2523093825174579E-4</v>
      </c>
      <c r="AD162">
        <f t="shared" si="26"/>
        <v>2.8125711602427876E-2</v>
      </c>
    </row>
    <row r="163" spans="1:30" x14ac:dyDescent="0.2">
      <c r="A163" s="2">
        <v>52185</v>
      </c>
      <c r="B163" s="3">
        <v>25.041095890410958</v>
      </c>
      <c r="C163">
        <v>2.75E-2</v>
      </c>
      <c r="D163">
        <v>100.77654456521739</v>
      </c>
      <c r="E163">
        <v>2.7799999999999998E-2</v>
      </c>
      <c r="G163" s="2">
        <f t="shared" si="18"/>
        <v>42870</v>
      </c>
      <c r="H163" s="2">
        <f t="shared" si="19"/>
        <v>43054</v>
      </c>
      <c r="I163">
        <f t="shared" si="20"/>
        <v>1.3077445652173914</v>
      </c>
      <c r="J163" s="1">
        <f>IFERROR(getBondPrice($A$1,A163,C163,100,$W$3,$W$4,$W$5,$W$6,$W$7), 100000)</f>
        <v>101.62579099495937</v>
      </c>
      <c r="K163" s="1">
        <f t="shared" si="21"/>
        <v>2.7323467170162572E-2</v>
      </c>
      <c r="L163">
        <f t="shared" si="22"/>
        <v>0.8492464297419815</v>
      </c>
      <c r="M163">
        <f t="shared" si="23"/>
        <v>0.8492464297419815</v>
      </c>
      <c r="N163">
        <f t="shared" si="24"/>
        <v>-4.765328298374262E-4</v>
      </c>
      <c r="O163">
        <f t="shared" si="25"/>
        <v>4.765328298374262E-4</v>
      </c>
      <c r="AD163">
        <f t="shared" si="26"/>
        <v>2.8170350832722898E-2</v>
      </c>
    </row>
    <row r="164" spans="1:30" x14ac:dyDescent="0.2">
      <c r="A164" s="2">
        <v>52277</v>
      </c>
      <c r="B164" s="3">
        <v>25.293150684931508</v>
      </c>
      <c r="C164">
        <v>3.125E-2</v>
      </c>
      <c r="D164">
        <v>106.97042336956522</v>
      </c>
      <c r="E164">
        <v>2.7779999999999999E-2</v>
      </c>
      <c r="G164" s="2">
        <f t="shared" si="18"/>
        <v>42962</v>
      </c>
      <c r="H164" s="2">
        <f t="shared" si="19"/>
        <v>43146</v>
      </c>
      <c r="I164">
        <f t="shared" si="20"/>
        <v>0.70482336956521741</v>
      </c>
      <c r="J164" s="1">
        <f>IFERROR(getBondPrice($A$1,A164,C164,100,$W$3,$W$4,$W$5,$W$6,$W$7), 100000)</f>
        <v>107.94694882375275</v>
      </c>
      <c r="K164" s="1">
        <f t="shared" si="21"/>
        <v>2.7264656725775573E-2</v>
      </c>
      <c r="L164">
        <f t="shared" si="22"/>
        <v>0.97652545418752368</v>
      </c>
      <c r="M164">
        <f t="shared" si="23"/>
        <v>0.97652545418752368</v>
      </c>
      <c r="N164">
        <f t="shared" si="24"/>
        <v>-5.1534327422442586E-4</v>
      </c>
      <c r="O164">
        <f t="shared" si="25"/>
        <v>5.1534327422442586E-4</v>
      </c>
      <c r="AD164">
        <f t="shared" si="26"/>
        <v>2.82094372640724E-2</v>
      </c>
    </row>
    <row r="165" spans="1:30" x14ac:dyDescent="0.2">
      <c r="A165" s="2">
        <v>52366</v>
      </c>
      <c r="B165" s="3">
        <v>25.536986301369861</v>
      </c>
      <c r="C165">
        <v>2.8750000000000001E-2</v>
      </c>
      <c r="D165">
        <v>103.00778750000001</v>
      </c>
      <c r="E165">
        <v>2.785E-2</v>
      </c>
      <c r="G165" s="2">
        <f t="shared" si="18"/>
        <v>42870</v>
      </c>
      <c r="H165" s="2">
        <f t="shared" si="19"/>
        <v>43054</v>
      </c>
      <c r="I165">
        <f t="shared" si="20"/>
        <v>1.3671875</v>
      </c>
      <c r="J165" s="1">
        <f>IFERROR(getBondPrice($A$1,A165,C165,100,$W$3,$W$4,$W$5,$W$6,$W$7), 100000)</f>
        <v>103.92527977355786</v>
      </c>
      <c r="K165" s="1">
        <f t="shared" si="21"/>
        <v>2.7350765377812877E-2</v>
      </c>
      <c r="L165">
        <f t="shared" si="22"/>
        <v>0.91749227355785479</v>
      </c>
      <c r="M165">
        <f t="shared" si="23"/>
        <v>0.91749227355785479</v>
      </c>
      <c r="N165">
        <f t="shared" si="24"/>
        <v>-4.9923462218712245E-4</v>
      </c>
      <c r="O165">
        <f t="shared" si="25"/>
        <v>4.9923462218712245E-4</v>
      </c>
      <c r="AD165">
        <f t="shared" si="26"/>
        <v>2.8241617331759557E-2</v>
      </c>
    </row>
    <row r="166" spans="1:30" x14ac:dyDescent="0.2">
      <c r="A166" s="2">
        <v>52458</v>
      </c>
      <c r="B166" s="3">
        <v>25.789041095890411</v>
      </c>
      <c r="C166">
        <v>3.6249999999999998E-2</v>
      </c>
      <c r="D166">
        <v>116.36449510869565</v>
      </c>
      <c r="E166">
        <v>2.7759999999999996E-2</v>
      </c>
      <c r="G166" s="2">
        <f t="shared" si="18"/>
        <v>42962</v>
      </c>
      <c r="H166" s="2">
        <f t="shared" si="19"/>
        <v>43146</v>
      </c>
      <c r="I166">
        <f t="shared" si="20"/>
        <v>0.817595108695652</v>
      </c>
      <c r="J166" s="1">
        <f>IFERROR(getBondPrice($A$1,A166,C166,100,$W$3,$W$4,$W$5,$W$6,$W$7), 100000)</f>
        <v>117.49965435129776</v>
      </c>
      <c r="K166" s="1">
        <f t="shared" si="21"/>
        <v>2.720195643210371E-2</v>
      </c>
      <c r="L166">
        <f t="shared" si="22"/>
        <v>1.1351592426021142</v>
      </c>
      <c r="M166">
        <f t="shared" si="23"/>
        <v>1.1351592426021142</v>
      </c>
      <c r="N166">
        <f t="shared" si="24"/>
        <v>-5.5804356789628667E-4</v>
      </c>
      <c r="O166">
        <f t="shared" si="25"/>
        <v>5.5804356789628667E-4</v>
      </c>
      <c r="AD166">
        <f t="shared" si="26"/>
        <v>2.8268690561068802E-2</v>
      </c>
    </row>
    <row r="167" spans="1:30" x14ac:dyDescent="0.2">
      <c r="A167" s="2">
        <v>52550</v>
      </c>
      <c r="B167" s="3">
        <v>26.041095890410958</v>
      </c>
      <c r="C167">
        <v>3.7499999999999999E-2</v>
      </c>
      <c r="D167">
        <v>119.78328804347827</v>
      </c>
      <c r="E167">
        <v>2.7740000000000001E-2</v>
      </c>
      <c r="G167" s="2">
        <f t="shared" si="18"/>
        <v>42870</v>
      </c>
      <c r="H167" s="2">
        <f t="shared" si="19"/>
        <v>43054</v>
      </c>
      <c r="I167">
        <f t="shared" si="20"/>
        <v>1.783288043478261</v>
      </c>
      <c r="J167" s="1">
        <f>IFERROR(getBondPrice($A$1,A167,C167,100,$W$3,$W$4,$W$5,$W$6,$W$7), 100000)</f>
        <v>120.90947978949718</v>
      </c>
      <c r="K167" s="1">
        <f t="shared" si="21"/>
        <v>2.7197332643265116E-2</v>
      </c>
      <c r="L167">
        <f t="shared" si="22"/>
        <v>1.1261917460189181</v>
      </c>
      <c r="M167">
        <f t="shared" si="23"/>
        <v>1.1261917460189181</v>
      </c>
      <c r="N167">
        <f t="shared" si="24"/>
        <v>-5.4266735673488484E-4</v>
      </c>
      <c r="O167">
        <f t="shared" si="25"/>
        <v>5.4266735673488484E-4</v>
      </c>
      <c r="AD167">
        <f t="shared" si="26"/>
        <v>2.8289082845302484E-2</v>
      </c>
    </row>
    <row r="168" spans="1:30" x14ac:dyDescent="0.2">
      <c r="A168" s="2">
        <v>52642</v>
      </c>
      <c r="B168" s="3">
        <v>26.293150684931508</v>
      </c>
      <c r="C168">
        <v>3.6249999999999998E-2</v>
      </c>
      <c r="D168">
        <v>116.54419510869566</v>
      </c>
      <c r="E168">
        <v>2.7779999999999999E-2</v>
      </c>
      <c r="G168" s="2">
        <f t="shared" si="18"/>
        <v>42962</v>
      </c>
      <c r="H168" s="2">
        <f t="shared" si="19"/>
        <v>43146</v>
      </c>
      <c r="I168">
        <f t="shared" si="20"/>
        <v>0.817595108695652</v>
      </c>
      <c r="J168" s="1">
        <f>IFERROR(getBondPrice($A$1,A168,C168,100,$W$3,$W$4,$W$5,$W$6,$W$7), 100000)</f>
        <v>117.63617056412913</v>
      </c>
      <c r="K168" s="1">
        <f t="shared" si="21"/>
        <v>2.7243559950857015E-2</v>
      </c>
      <c r="L168">
        <f t="shared" si="22"/>
        <v>1.0919754554334702</v>
      </c>
      <c r="M168">
        <f t="shared" si="23"/>
        <v>1.0919754554334702</v>
      </c>
      <c r="N168">
        <f t="shared" si="24"/>
        <v>-5.3644004914298396E-4</v>
      </c>
      <c r="O168">
        <f t="shared" si="25"/>
        <v>5.3644004914298396E-4</v>
      </c>
      <c r="AD168">
        <f t="shared" si="26"/>
        <v>2.8302392339738275E-2</v>
      </c>
    </row>
    <row r="169" spans="1:30" x14ac:dyDescent="0.2">
      <c r="A169" s="2">
        <v>52732</v>
      </c>
      <c r="B169" s="3">
        <v>26.539726027397261</v>
      </c>
      <c r="C169">
        <v>3.3750000000000002E-2</v>
      </c>
      <c r="D169">
        <v>112.63625923913044</v>
      </c>
      <c r="E169">
        <v>2.7839999999999997E-2</v>
      </c>
      <c r="G169" s="2">
        <f t="shared" si="18"/>
        <v>42870</v>
      </c>
      <c r="H169" s="2">
        <f t="shared" si="19"/>
        <v>43054</v>
      </c>
      <c r="I169">
        <f t="shared" si="20"/>
        <v>1.6049592391304348</v>
      </c>
      <c r="J169" s="1">
        <f>IFERROR(getBondPrice($A$1,A169,C169,100,$W$3,$W$4,$W$5,$W$6,$W$7), 100000)</f>
        <v>113.70723375642206</v>
      </c>
      <c r="K169" s="1">
        <f t="shared" si="21"/>
        <v>2.730712575631411E-2</v>
      </c>
      <c r="L169">
        <f t="shared" si="22"/>
        <v>1.0709745172916172</v>
      </c>
      <c r="M169">
        <f t="shared" si="23"/>
        <v>1.0709745172916172</v>
      </c>
      <c r="N169">
        <f t="shared" si="24"/>
        <v>-5.3287424368588659E-4</v>
      </c>
      <c r="O169">
        <f t="shared" si="25"/>
        <v>5.3287424368588659E-4</v>
      </c>
      <c r="AD169">
        <f t="shared" si="26"/>
        <v>2.8308162542349063E-2</v>
      </c>
    </row>
    <row r="170" spans="1:30" x14ac:dyDescent="0.2">
      <c r="A170" s="2">
        <v>52824</v>
      </c>
      <c r="B170" s="3">
        <v>26.791780821917808</v>
      </c>
      <c r="C170">
        <v>3.125E-2</v>
      </c>
      <c r="D170">
        <v>106.98612336956522</v>
      </c>
      <c r="E170">
        <v>2.7900000000000001E-2</v>
      </c>
      <c r="G170" s="2">
        <f t="shared" si="18"/>
        <v>42962</v>
      </c>
      <c r="H170" s="2">
        <f t="shared" si="19"/>
        <v>43146</v>
      </c>
      <c r="I170">
        <f t="shared" si="20"/>
        <v>0.70482336956521741</v>
      </c>
      <c r="J170" s="1">
        <f>IFERROR(getBondPrice($A$1,A170,C170,100,$W$3,$W$4,$W$5,$W$6,$W$7), 100000)</f>
        <v>108.02533641226714</v>
      </c>
      <c r="K170" s="1">
        <f t="shared" si="21"/>
        <v>2.7373366464759758E-2</v>
      </c>
      <c r="L170">
        <f t="shared" si="22"/>
        <v>1.0392130427019168</v>
      </c>
      <c r="M170">
        <f t="shared" si="23"/>
        <v>1.0392130427019168</v>
      </c>
      <c r="N170">
        <f t="shared" si="24"/>
        <v>-5.2663353524024306E-4</v>
      </c>
      <c r="O170">
        <f t="shared" si="25"/>
        <v>5.2663353524024306E-4</v>
      </c>
      <c r="AD170">
        <f t="shared" si="26"/>
        <v>2.8306233978865968E-2</v>
      </c>
    </row>
    <row r="171" spans="1:30" x14ac:dyDescent="0.2">
      <c r="A171" s="2">
        <v>52916</v>
      </c>
      <c r="B171" s="3">
        <v>27.043835616438358</v>
      </c>
      <c r="C171">
        <v>0.03</v>
      </c>
      <c r="D171">
        <v>105.30943043478261</v>
      </c>
      <c r="E171">
        <v>2.794E-2</v>
      </c>
      <c r="G171" s="2">
        <f t="shared" si="18"/>
        <v>42870</v>
      </c>
      <c r="H171" s="2">
        <f t="shared" si="19"/>
        <v>43054</v>
      </c>
      <c r="I171">
        <f t="shared" si="20"/>
        <v>1.4266304347826086</v>
      </c>
      <c r="J171" s="1">
        <f>IFERROR(getBondPrice($A$1,A171,C171,100,$W$3,$W$4,$W$5,$W$6,$W$7), 100000)</f>
        <v>106.35959487894824</v>
      </c>
      <c r="K171" s="1">
        <f t="shared" si="21"/>
        <v>2.7403867373132988E-2</v>
      </c>
      <c r="L171">
        <f t="shared" si="22"/>
        <v>1.050164444165631</v>
      </c>
      <c r="M171">
        <f t="shared" si="23"/>
        <v>1.050164444165631</v>
      </c>
      <c r="N171">
        <f t="shared" si="24"/>
        <v>-5.3613262686701135E-4</v>
      </c>
      <c r="O171">
        <f t="shared" si="25"/>
        <v>5.3613262686701135E-4</v>
      </c>
      <c r="AD171">
        <f t="shared" si="26"/>
        <v>2.8295961130527462E-2</v>
      </c>
    </row>
    <row r="172" spans="1:30" x14ac:dyDescent="0.2">
      <c r="A172" s="2">
        <v>53008</v>
      </c>
      <c r="B172" s="3">
        <v>27.295890410958904</v>
      </c>
      <c r="C172">
        <v>2.5000000000000001E-2</v>
      </c>
      <c r="D172">
        <v>94.673258695652166</v>
      </c>
      <c r="E172">
        <v>2.811E-2</v>
      </c>
      <c r="G172" s="2">
        <f t="shared" si="18"/>
        <v>42962</v>
      </c>
      <c r="H172" s="2">
        <f t="shared" si="19"/>
        <v>43146</v>
      </c>
      <c r="I172">
        <f t="shared" si="20"/>
        <v>0.56385869565217395</v>
      </c>
      <c r="J172" s="1">
        <f>IFERROR(getBondPrice($A$1,A172,C172,100,$W$3,$W$4,$W$5,$W$6,$W$7), 100000)</f>
        <v>95.739833807739188</v>
      </c>
      <c r="K172" s="1">
        <f t="shared" si="21"/>
        <v>2.7525399188264785E-2</v>
      </c>
      <c r="L172">
        <f t="shared" si="22"/>
        <v>1.0665751120870226</v>
      </c>
      <c r="M172">
        <f t="shared" si="23"/>
        <v>1.0665751120870226</v>
      </c>
      <c r="N172">
        <f t="shared" si="24"/>
        <v>-5.8460081173521486E-4</v>
      </c>
      <c r="O172">
        <f t="shared" si="25"/>
        <v>5.8460081173521486E-4</v>
      </c>
      <c r="AD172">
        <f t="shared" si="26"/>
        <v>2.827689870668874E-2</v>
      </c>
    </row>
    <row r="173" spans="1:30" x14ac:dyDescent="0.2">
      <c r="A173" s="2">
        <v>53097</v>
      </c>
      <c r="B173" s="3">
        <v>27.539726027397261</v>
      </c>
      <c r="C173">
        <v>0.03</v>
      </c>
      <c r="D173">
        <v>105.21573043478261</v>
      </c>
      <c r="E173">
        <v>2.802E-2</v>
      </c>
      <c r="G173" s="2">
        <f t="shared" si="18"/>
        <v>42870</v>
      </c>
      <c r="H173" s="2">
        <f t="shared" si="19"/>
        <v>43054</v>
      </c>
      <c r="I173">
        <f t="shared" si="20"/>
        <v>1.4266304347826086</v>
      </c>
      <c r="J173" s="1">
        <f>IFERROR(getBondPrice($A$1,A173,C173,100,$W$3,$W$4,$W$5,$W$6,$W$7), 100000)</f>
        <v>106.4588832436751</v>
      </c>
      <c r="K173" s="1">
        <f t="shared" si="21"/>
        <v>2.7384764660305205E-2</v>
      </c>
      <c r="L173">
        <f t="shared" si="22"/>
        <v>1.2431528088924892</v>
      </c>
      <c r="M173">
        <f t="shared" si="23"/>
        <v>1.2431528088924892</v>
      </c>
      <c r="N173">
        <f t="shared" si="24"/>
        <v>-6.3523533969479448E-4</v>
      </c>
      <c r="O173">
        <f t="shared" si="25"/>
        <v>6.3523533969479448E-4</v>
      </c>
      <c r="AD173">
        <f t="shared" si="26"/>
        <v>2.824966422328834E-2</v>
      </c>
    </row>
    <row r="174" spans="1:30" x14ac:dyDescent="0.2">
      <c r="A174" s="2">
        <v>53189</v>
      </c>
      <c r="B174" s="3">
        <v>27.791780821917808</v>
      </c>
      <c r="C174">
        <v>2.8750000000000001E-2</v>
      </c>
      <c r="D174">
        <v>101.9297375</v>
      </c>
      <c r="E174">
        <v>2.8079999999999997E-2</v>
      </c>
      <c r="G174" s="2">
        <f t="shared" si="18"/>
        <v>42962</v>
      </c>
      <c r="H174" s="2">
        <f t="shared" si="19"/>
        <v>43146</v>
      </c>
      <c r="I174">
        <f t="shared" si="20"/>
        <v>0.6484375</v>
      </c>
      <c r="J174" s="1">
        <f>IFERROR(getBondPrice($A$1,A174,C174,100,$W$3,$W$4,$W$5,$W$6,$W$7), 100000)</f>
        <v>103.26347245841025</v>
      </c>
      <c r="K174" s="1">
        <f t="shared" si="21"/>
        <v>2.7397857015110157E-2</v>
      </c>
      <c r="L174">
        <f t="shared" si="22"/>
        <v>1.3337349584102469</v>
      </c>
      <c r="M174">
        <f t="shared" si="23"/>
        <v>1.3337349584102469</v>
      </c>
      <c r="N174">
        <f t="shared" si="24"/>
        <v>-6.8214298488983999E-4</v>
      </c>
      <c r="O174">
        <f t="shared" si="25"/>
        <v>6.8214298488983999E-4</v>
      </c>
      <c r="AD174">
        <f t="shared" si="26"/>
        <v>2.8211967299703961E-2</v>
      </c>
    </row>
    <row r="175" spans="1:30" x14ac:dyDescent="0.2">
      <c r="A175" s="2">
        <v>53281</v>
      </c>
      <c r="B175" s="3">
        <v>28.043835616438358</v>
      </c>
      <c r="C175">
        <v>0.03</v>
      </c>
      <c r="D175">
        <v>105.10633043478261</v>
      </c>
      <c r="E175">
        <v>2.809E-2</v>
      </c>
      <c r="G175" s="2">
        <f t="shared" si="18"/>
        <v>42870</v>
      </c>
      <c r="H175" s="2">
        <f t="shared" si="19"/>
        <v>43054</v>
      </c>
      <c r="I175">
        <f t="shared" si="20"/>
        <v>1.4266304347826086</v>
      </c>
      <c r="J175" s="1">
        <f>IFERROR(getBondPrice($A$1,A175,C175,100,$W$3,$W$4,$W$5,$W$6,$W$7), 100000)</f>
        <v>106.59907137676586</v>
      </c>
      <c r="K175" s="1">
        <f t="shared" si="21"/>
        <v>2.7345405330967406E-2</v>
      </c>
      <c r="L175">
        <f t="shared" si="22"/>
        <v>1.4927409419832571</v>
      </c>
      <c r="M175">
        <f t="shared" si="23"/>
        <v>1.4927409419832571</v>
      </c>
      <c r="N175">
        <f t="shared" si="24"/>
        <v>-7.4459466903259441E-4</v>
      </c>
      <c r="O175">
        <f t="shared" si="25"/>
        <v>7.4459466903259441E-4</v>
      </c>
      <c r="AD175">
        <f t="shared" si="26"/>
        <v>2.8164095164627357E-2</v>
      </c>
    </row>
    <row r="176" spans="1:30" x14ac:dyDescent="0.2">
      <c r="A176" s="2">
        <v>53373</v>
      </c>
      <c r="B176" s="3">
        <v>28.295890410958904</v>
      </c>
      <c r="C176">
        <v>2.5000000000000001E-2</v>
      </c>
      <c r="D176">
        <v>94.352958695652177</v>
      </c>
      <c r="E176">
        <v>2.8199999999999999E-2</v>
      </c>
      <c r="G176" s="2">
        <f t="shared" si="18"/>
        <v>42962</v>
      </c>
      <c r="H176" s="2">
        <f t="shared" si="19"/>
        <v>43146</v>
      </c>
      <c r="I176">
        <f t="shared" si="20"/>
        <v>0.56385869565217395</v>
      </c>
      <c r="J176" s="1">
        <f>IFERROR(getBondPrice($A$1,A176,C176,100,$W$3,$W$4,$W$5,$W$6,$W$7), 100000)</f>
        <v>95.804646250533565</v>
      </c>
      <c r="K176" s="1">
        <f t="shared" si="21"/>
        <v>2.7429348044825049E-2</v>
      </c>
      <c r="L176">
        <f t="shared" si="22"/>
        <v>1.4516875548813886</v>
      </c>
      <c r="M176">
        <f t="shared" si="23"/>
        <v>1.4516875548813886</v>
      </c>
      <c r="N176">
        <f t="shared" si="24"/>
        <v>-7.7065195517495022E-4</v>
      </c>
      <c r="O176">
        <f t="shared" si="25"/>
        <v>7.7065195517495022E-4</v>
      </c>
      <c r="AD176">
        <f t="shared" si="26"/>
        <v>2.8105559200196084E-2</v>
      </c>
    </row>
    <row r="177" spans="1:30" x14ac:dyDescent="0.2">
      <c r="A177" s="2">
        <v>53462</v>
      </c>
      <c r="B177" s="3">
        <v>28.539726027397261</v>
      </c>
      <c r="C177">
        <v>2.5000000000000001E-2</v>
      </c>
      <c r="D177">
        <v>94.938858695652172</v>
      </c>
      <c r="E177">
        <v>2.8199999999999999E-2</v>
      </c>
      <c r="G177" s="2">
        <f t="shared" si="18"/>
        <v>42870</v>
      </c>
      <c r="H177" s="2">
        <f t="shared" si="19"/>
        <v>43054</v>
      </c>
      <c r="I177">
        <f t="shared" si="20"/>
        <v>1.1888586956521738</v>
      </c>
      <c r="J177" s="1">
        <f>IFERROR(getBondPrice($A$1,A177,C177,100,$W$3,$W$4,$W$5,$W$6,$W$7), 100000)</f>
        <v>96.490897490490838</v>
      </c>
      <c r="K177" s="1">
        <f t="shared" si="21"/>
        <v>2.7383627112750854E-2</v>
      </c>
      <c r="L177">
        <f t="shared" si="22"/>
        <v>1.5520387948386656</v>
      </c>
      <c r="M177">
        <f t="shared" si="23"/>
        <v>1.5520387948386656</v>
      </c>
      <c r="N177">
        <f t="shared" si="24"/>
        <v>-8.1637288724914492E-4</v>
      </c>
      <c r="O177">
        <f t="shared" si="25"/>
        <v>8.1637288724914492E-4</v>
      </c>
      <c r="AD177">
        <f t="shared" si="26"/>
        <v>2.80383139991837E-2</v>
      </c>
    </row>
    <row r="178" spans="1:30" x14ac:dyDescent="0.2">
      <c r="A178" s="2">
        <v>53554</v>
      </c>
      <c r="B178" s="3">
        <v>28.791780821917808</v>
      </c>
      <c r="C178">
        <v>2.2499999999999999E-2</v>
      </c>
      <c r="D178">
        <v>89.24967282608695</v>
      </c>
      <c r="E178">
        <v>2.8239999999999998E-2</v>
      </c>
      <c r="G178" s="2">
        <f t="shared" si="18"/>
        <v>42962</v>
      </c>
      <c r="H178" s="2">
        <f t="shared" si="19"/>
        <v>43146</v>
      </c>
      <c r="I178">
        <f t="shared" si="20"/>
        <v>0.50747282608695654</v>
      </c>
      <c r="J178" s="1">
        <f>IFERROR(getBondPrice($A$1,A178,C178,100,$W$3,$W$4,$W$5,$W$6,$W$7), 100000)</f>
        <v>90.807336706608751</v>
      </c>
      <c r="K178" s="1">
        <f t="shared" si="21"/>
        <v>2.7393378596176805E-2</v>
      </c>
      <c r="L178">
        <f t="shared" si="22"/>
        <v>1.557663880521801</v>
      </c>
      <c r="M178">
        <f t="shared" si="23"/>
        <v>1.557663880521801</v>
      </c>
      <c r="N178">
        <f t="shared" si="24"/>
        <v>-8.4662140382319243E-4</v>
      </c>
      <c r="O178">
        <f t="shared" si="25"/>
        <v>8.4662140382319243E-4</v>
      </c>
      <c r="AD178">
        <f t="shared" si="26"/>
        <v>2.7957329671692475E-2</v>
      </c>
    </row>
    <row r="179" spans="1:30" x14ac:dyDescent="0.2">
      <c r="A179" s="2">
        <v>53646</v>
      </c>
      <c r="B179" s="3">
        <v>29.043835616438358</v>
      </c>
      <c r="C179">
        <v>2.8750000000000001E-2</v>
      </c>
      <c r="D179">
        <v>102.5468875</v>
      </c>
      <c r="E179">
        <v>2.8149999999999998E-2</v>
      </c>
      <c r="G179" s="2">
        <f t="shared" si="18"/>
        <v>42870</v>
      </c>
      <c r="H179" s="2">
        <f t="shared" si="19"/>
        <v>43054</v>
      </c>
      <c r="I179">
        <f t="shared" si="20"/>
        <v>1.3671875</v>
      </c>
      <c r="J179" s="1">
        <f>IFERROR(getBondPrice($A$1,A179,C179,100,$W$3,$W$4,$W$5,$W$6,$W$7), 100000)</f>
        <v>104.46002277125693</v>
      </c>
      <c r="K179" s="1">
        <f t="shared" si="21"/>
        <v>2.7201868414707876E-2</v>
      </c>
      <c r="L179">
        <f t="shared" si="22"/>
        <v>1.9131352712569338</v>
      </c>
      <c r="M179">
        <f t="shared" si="23"/>
        <v>1.9131352712569338</v>
      </c>
      <c r="N179">
        <f t="shared" si="24"/>
        <v>-9.4813158529212169E-4</v>
      </c>
      <c r="O179">
        <f t="shared" si="25"/>
        <v>9.4813158529212169E-4</v>
      </c>
      <c r="AD179">
        <f t="shared" si="26"/>
        <v>2.7864167310045287E-2</v>
      </c>
    </row>
    <row r="180" spans="1:30" x14ac:dyDescent="0.2">
      <c r="A180" s="2">
        <v>53738</v>
      </c>
      <c r="B180" s="3">
        <v>29.295890410958904</v>
      </c>
      <c r="C180">
        <v>0.03</v>
      </c>
      <c r="D180">
        <v>104.36413043478261</v>
      </c>
      <c r="E180">
        <v>2.8140000000000002E-2</v>
      </c>
      <c r="G180" s="2">
        <f t="shared" si="18"/>
        <v>42962</v>
      </c>
      <c r="H180" s="2">
        <f t="shared" si="19"/>
        <v>43146</v>
      </c>
      <c r="I180">
        <f t="shared" si="20"/>
        <v>0.67663043478260865</v>
      </c>
      <c r="J180" s="1">
        <f>IFERROR(getBondPrice($A$1,A180,C180,100,$W$3,$W$4,$W$5,$W$6,$W$7), 100000)</f>
        <v>106.46988277418629</v>
      </c>
      <c r="K180" s="1">
        <f t="shared" si="21"/>
        <v>2.7118714284887265E-2</v>
      </c>
      <c r="L180">
        <f t="shared" si="22"/>
        <v>2.1057523394036792</v>
      </c>
      <c r="M180">
        <f t="shared" si="23"/>
        <v>2.1057523394036792</v>
      </c>
      <c r="N180">
        <f t="shared" si="24"/>
        <v>-1.0212857151127366E-3</v>
      </c>
      <c r="O180">
        <f t="shared" si="25"/>
        <v>1.0212857151127366E-3</v>
      </c>
      <c r="AD180">
        <f t="shared" si="26"/>
        <v>2.775829496916175E-2</v>
      </c>
    </row>
    <row r="181" spans="1:30" x14ac:dyDescent="0.2">
      <c r="A181" s="2">
        <v>53827</v>
      </c>
      <c r="B181" s="3">
        <v>29.539726027397261</v>
      </c>
      <c r="C181">
        <v>0.03</v>
      </c>
      <c r="D181">
        <v>105.12193043478261</v>
      </c>
      <c r="E181">
        <v>2.8149999999999998E-2</v>
      </c>
      <c r="G181" s="2">
        <f t="shared" si="18"/>
        <v>42870</v>
      </c>
      <c r="H181" s="2">
        <f t="shared" si="19"/>
        <v>43054</v>
      </c>
      <c r="I181">
        <f t="shared" si="20"/>
        <v>1.4266304347826086</v>
      </c>
      <c r="J181" s="1">
        <f>IFERROR(getBondPrice($A$1,A181,C181,100,$W$3,$W$4,$W$5,$W$6,$W$7), 100000)</f>
        <v>107.40566717520944</v>
      </c>
      <c r="K181" s="1">
        <f t="shared" si="21"/>
        <v>2.7046641975358634E-2</v>
      </c>
      <c r="L181">
        <f t="shared" si="22"/>
        <v>2.2837367404268321</v>
      </c>
      <c r="M181">
        <f t="shared" si="23"/>
        <v>2.2837367404268321</v>
      </c>
      <c r="N181">
        <f t="shared" si="24"/>
        <v>-1.1033580246413641E-3</v>
      </c>
      <c r="O181">
        <f t="shared" si="25"/>
        <v>1.1033580246413641E-3</v>
      </c>
      <c r="AD181">
        <f t="shared" si="26"/>
        <v>2.7643269032039165E-2</v>
      </c>
    </row>
    <row r="182" spans="1:30" x14ac:dyDescent="0.2">
      <c r="A182" s="2">
        <v>53919</v>
      </c>
      <c r="B182" s="3">
        <v>29.791780821917808</v>
      </c>
      <c r="C182">
        <v>2.75E-2</v>
      </c>
      <c r="D182">
        <v>99.245244565217391</v>
      </c>
      <c r="E182">
        <v>2.819E-2</v>
      </c>
      <c r="G182" s="2">
        <f t="shared" si="18"/>
        <v>42962</v>
      </c>
      <c r="H182" s="2">
        <f t="shared" si="19"/>
        <v>43146</v>
      </c>
      <c r="I182">
        <f t="shared" si="20"/>
        <v>0.62024456521739135</v>
      </c>
      <c r="J182" s="1">
        <f>IFERROR(getBondPrice($A$1,A182,C182,100,$W$3,$W$4,$W$5,$W$6,$W$7), 100000)</f>
        <v>101.61599888288623</v>
      </c>
      <c r="K182" s="1">
        <f t="shared" si="21"/>
        <v>2.7010000524529981E-2</v>
      </c>
      <c r="L182">
        <f t="shared" si="22"/>
        <v>2.3707543176688404</v>
      </c>
      <c r="M182">
        <f t="shared" si="23"/>
        <v>2.3707543176688404</v>
      </c>
      <c r="N182">
        <f t="shared" si="24"/>
        <v>-1.1799994754700185E-3</v>
      </c>
      <c r="O182">
        <f t="shared" si="25"/>
        <v>1.1799994754700185E-3</v>
      </c>
      <c r="AD182">
        <f t="shared" si="26"/>
        <v>2.7510796278032573E-2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D182"/>
  <sheetViews>
    <sheetView topLeftCell="O1" workbookViewId="0">
      <selection activeCell="Y20" sqref="Y20"/>
    </sheetView>
  </sheetViews>
  <sheetFormatPr baseColWidth="10" defaultColWidth="8.83203125" defaultRowHeight="15" x14ac:dyDescent="0.2"/>
  <cols>
    <col min="1" max="5" width="12.5" customWidth="1"/>
    <col min="7" max="7" width="22.6640625" customWidth="1"/>
    <col min="8" max="8" width="16.83203125" customWidth="1"/>
    <col min="9" max="9" width="10.5" customWidth="1"/>
    <col min="10" max="11" width="16.5" style="1" customWidth="1"/>
    <col min="12" max="16" width="14.6640625" customWidth="1"/>
    <col min="17" max="17" width="11" bestFit="1" customWidth="1"/>
    <col min="18" max="18" width="24.1640625" customWidth="1"/>
    <col min="19" max="19" width="12" bestFit="1" customWidth="1"/>
    <col min="20" max="21" width="16.33203125" customWidth="1"/>
    <col min="22" max="22" width="11.1640625" customWidth="1"/>
    <col min="23" max="23" width="11.6640625" bestFit="1" customWidth="1"/>
    <col min="30" max="30" width="11.83203125" customWidth="1"/>
  </cols>
  <sheetData>
    <row r="1" spans="1:30" x14ac:dyDescent="0.2">
      <c r="A1" s="2">
        <v>43045</v>
      </c>
      <c r="B1" s="2"/>
    </row>
    <row r="2" spans="1:30" x14ac:dyDescent="0.2">
      <c r="A2" t="s">
        <v>33</v>
      </c>
      <c r="B2" t="s">
        <v>32</v>
      </c>
      <c r="C2" t="s">
        <v>31</v>
      </c>
      <c r="D2" t="s">
        <v>30</v>
      </c>
      <c r="E2" t="s">
        <v>29</v>
      </c>
      <c r="G2" t="s">
        <v>28</v>
      </c>
      <c r="H2" t="s">
        <v>27</v>
      </c>
      <c r="I2" t="s">
        <v>26</v>
      </c>
      <c r="J2" s="1" t="s">
        <v>25</v>
      </c>
      <c r="K2" s="1" t="s">
        <v>24</v>
      </c>
      <c r="L2" t="s">
        <v>23</v>
      </c>
      <c r="M2" t="s">
        <v>22</v>
      </c>
      <c r="N2" t="s">
        <v>21</v>
      </c>
      <c r="O2" t="s">
        <v>20</v>
      </c>
      <c r="P2" t="s">
        <v>19</v>
      </c>
      <c r="Q2" t="s">
        <v>18</v>
      </c>
      <c r="R2" t="s">
        <v>17</v>
      </c>
      <c r="S2" t="s">
        <v>16</v>
      </c>
      <c r="T2" t="s">
        <v>15</v>
      </c>
      <c r="X2" t="s">
        <v>14</v>
      </c>
      <c r="Y2" t="s">
        <v>13</v>
      </c>
      <c r="AD2" t="s">
        <v>12</v>
      </c>
    </row>
    <row r="3" spans="1:30" x14ac:dyDescent="0.2">
      <c r="A3" s="2">
        <v>43235</v>
      </c>
      <c r="B3" s="3">
        <v>0.52054794520547942</v>
      </c>
      <c r="C3">
        <v>0.01</v>
      </c>
      <c r="D3">
        <v>100.33494347826087</v>
      </c>
      <c r="E3">
        <v>1.2699999999999999E-2</v>
      </c>
      <c r="G3" s="2">
        <f t="shared" ref="G3:G34" si="0">COUPPCD($A$1,A3,2,1)</f>
        <v>42870</v>
      </c>
      <c r="H3" s="2">
        <f t="shared" ref="H3:H34" si="1">COUPNCD($A$1,A3,2,1)</f>
        <v>43054</v>
      </c>
      <c r="I3">
        <f t="shared" ref="I3:I34" si="2">100*C3/2*($A$1-G3)/(H3-G3)</f>
        <v>0.47554347826086957</v>
      </c>
      <c r="J3" s="1">
        <f>IFERROR(getBondPrice3($A$1,A3,C3,100,$W$3,$W$4,$W$5,$W$6,$W$7,$W$8,$W$9,$W$10, $W$13,$W$14,$W$15,$W$16), 100000)</f>
        <v>100.32242463880839</v>
      </c>
      <c r="K3" s="1">
        <f t="shared" ref="K3:K34" si="3">IFERROR(YIELD($A$1,A3,C3,J3-I3,100,2,1),-2)</f>
        <v>1.293747977139046E-2</v>
      </c>
      <c r="L3">
        <f t="shared" ref="L3:L34" si="4">J3-D3</f>
        <v>-1.2518839452482666E-2</v>
      </c>
      <c r="M3">
        <f t="shared" ref="M3:M34" si="5">ABS(L3)</f>
        <v>1.2518839452482666E-2</v>
      </c>
      <c r="N3">
        <f t="shared" ref="N3:N34" si="6">K3-E3</f>
        <v>2.374797713904607E-4</v>
      </c>
      <c r="O3">
        <f t="shared" ref="O3:O34" si="7">ABS(N3)</f>
        <v>2.374797713904607E-4</v>
      </c>
      <c r="P3">
        <f>ROWS(L3:L182)</f>
        <v>180</v>
      </c>
      <c r="Q3">
        <f>IFERROR(SUMPRODUCT(L3:L182, L3:L182)/P3, 100000000)</f>
        <v>0.1169540590671095</v>
      </c>
      <c r="R3">
        <f>MAX(M3:M182)</f>
        <v>1.6794408227353017</v>
      </c>
      <c r="S3">
        <f>SUMPRODUCT(N3:N182, N3:N182)/P3</f>
        <v>5.9506824525466512E-8</v>
      </c>
      <c r="T3">
        <f>MAX(O3:O182)</f>
        <v>9.8710512190218133E-4</v>
      </c>
      <c r="V3" t="s">
        <v>11</v>
      </c>
      <c r="W3" s="5">
        <v>7.0782526383160477E-3</v>
      </c>
      <c r="X3">
        <v>0</v>
      </c>
      <c r="Y3">
        <v>0.5</v>
      </c>
      <c r="AD3">
        <f>spotRate3($A$1,A3,$W$3,$W$4,$W$5,$W$6,$W$7,$W$8,$W$9,$W$10,$W$13,$W$14,$W$15,$W$16)</f>
        <v>1.2993897148743277E-2</v>
      </c>
    </row>
    <row r="4" spans="1:30" x14ac:dyDescent="0.2">
      <c r="A4" s="2">
        <v>43251</v>
      </c>
      <c r="B4" s="3">
        <v>0.56438356164383563</v>
      </c>
      <c r="C4">
        <v>8.7500000000000008E-3</v>
      </c>
      <c r="D4">
        <v>100.12232295081967</v>
      </c>
      <c r="E4">
        <v>1.3340000000000001E-2</v>
      </c>
      <c r="G4" s="2">
        <f t="shared" si="0"/>
        <v>42886</v>
      </c>
      <c r="H4" s="2">
        <f t="shared" si="1"/>
        <v>43069</v>
      </c>
      <c r="I4">
        <f t="shared" si="2"/>
        <v>0.38012295081967223</v>
      </c>
      <c r="J4" s="1">
        <f>IFERROR(getBondPrice3($A$1,A4,C4,100,$W$3,$W$4,$W$5,$W$6,$W$7,$W$8,$W$9,$W$10, $W$13,$W$14,$W$15,$W$16), 100000)</f>
        <v>100.12639461823152</v>
      </c>
      <c r="K4" s="1">
        <f t="shared" si="3"/>
        <v>1.3264985077884286E-2</v>
      </c>
      <c r="L4">
        <f t="shared" si="4"/>
        <v>4.0716674118499441E-3</v>
      </c>
      <c r="M4">
        <f t="shared" si="5"/>
        <v>4.0716674118499441E-3</v>
      </c>
      <c r="N4">
        <f t="shared" si="6"/>
        <v>-7.5014922115715366E-5</v>
      </c>
      <c r="O4">
        <f t="shared" si="7"/>
        <v>7.5014922115715366E-5</v>
      </c>
      <c r="Q4">
        <f>SQRT(Q3)</f>
        <v>0.34198546616356301</v>
      </c>
      <c r="S4">
        <f>SQRT(S3)</f>
        <v>2.4394020686526138E-4</v>
      </c>
      <c r="V4" t="s">
        <v>10</v>
      </c>
      <c r="W4" s="6">
        <v>1.77816740032108E-2</v>
      </c>
      <c r="X4">
        <v>-0.1</v>
      </c>
      <c r="Y4">
        <v>1</v>
      </c>
      <c r="AD4">
        <f t="shared" ref="AD4:AD67" si="8">spotRate3($A$1,A4,$W$3,$W$4,$W$5,$W$6,$W$7,$W$8,$W$9,$W$10,$W$13,$W$14,$W$15,$W$16)</f>
        <v>1.3251625147145238E-2</v>
      </c>
    </row>
    <row r="5" spans="1:30" x14ac:dyDescent="0.2">
      <c r="A5" s="2">
        <v>43266</v>
      </c>
      <c r="B5" s="3">
        <v>0.60547945205479448</v>
      </c>
      <c r="C5">
        <v>1.125E-2</v>
      </c>
      <c r="D5">
        <v>100.30202295081966</v>
      </c>
      <c r="E5">
        <v>1.3580000000000002E-2</v>
      </c>
      <c r="G5" s="2">
        <f t="shared" si="0"/>
        <v>42901</v>
      </c>
      <c r="H5" s="2">
        <f t="shared" si="1"/>
        <v>43084</v>
      </c>
      <c r="I5">
        <f t="shared" si="2"/>
        <v>0.44262295081967212</v>
      </c>
      <c r="J5" s="1">
        <f>IFERROR(getBondPrice3($A$1,A5,C5,100,$W$3,$W$4,$W$5,$W$6,$W$7,$W$8,$W$9,$W$10, $W$13,$W$14,$W$15,$W$16), 100000)</f>
        <v>100.3076919279705</v>
      </c>
      <c r="K5" s="1">
        <f t="shared" si="3"/>
        <v>1.3485872713795958E-2</v>
      </c>
      <c r="L5">
        <f t="shared" si="4"/>
        <v>5.6689771508331432E-3</v>
      </c>
      <c r="M5">
        <f t="shared" si="5"/>
        <v>5.6689771508331432E-3</v>
      </c>
      <c r="N5">
        <f t="shared" si="6"/>
        <v>-9.4127286204044244E-5</v>
      </c>
      <c r="O5">
        <f t="shared" si="7"/>
        <v>9.4127286204044244E-5</v>
      </c>
      <c r="V5" t="s">
        <v>9</v>
      </c>
      <c r="W5" s="6">
        <v>-1.473536074970783E-2</v>
      </c>
      <c r="X5">
        <v>-0.1</v>
      </c>
      <c r="Y5">
        <v>0.1</v>
      </c>
      <c r="AD5">
        <f t="shared" si="8"/>
        <v>1.3469097735343433E-2</v>
      </c>
    </row>
    <row r="6" spans="1:30" x14ac:dyDescent="0.2">
      <c r="A6" s="2">
        <v>43281</v>
      </c>
      <c r="B6" s="3">
        <v>0.64657534246575343</v>
      </c>
      <c r="C6">
        <v>6.2500000000000003E-3</v>
      </c>
      <c r="D6">
        <v>99.742489673913042</v>
      </c>
      <c r="E6">
        <v>1.3640000000000001E-2</v>
      </c>
      <c r="G6" s="2">
        <f t="shared" si="0"/>
        <v>42916</v>
      </c>
      <c r="H6" s="2">
        <f t="shared" si="1"/>
        <v>43100</v>
      </c>
      <c r="I6">
        <f t="shared" si="2"/>
        <v>0.21908967391304349</v>
      </c>
      <c r="J6" s="1">
        <f>IFERROR(getBondPrice3($A$1,A6,C6,100,$W$3,$W$4,$W$5,$W$6,$W$7,$W$8,$W$9,$W$10, $W$13,$W$14,$W$15,$W$16), 100000)</f>
        <v>99.742142560357863</v>
      </c>
      <c r="K6" s="1">
        <f t="shared" si="3"/>
        <v>1.3647954078659815E-2</v>
      </c>
      <c r="L6">
        <f t="shared" si="4"/>
        <v>-3.4711355517913489E-4</v>
      </c>
      <c r="M6">
        <f t="shared" si="5"/>
        <v>3.4711355517913489E-4</v>
      </c>
      <c r="N6">
        <f t="shared" si="6"/>
        <v>7.9540786598140262E-6</v>
      </c>
      <c r="O6">
        <f t="shared" si="7"/>
        <v>7.9540786598140262E-6</v>
      </c>
      <c r="V6" t="s">
        <v>8</v>
      </c>
      <c r="W6" s="6">
        <v>4.6243180285551475E-3</v>
      </c>
      <c r="X6">
        <v>-0.1</v>
      </c>
      <c r="Y6">
        <v>0.1</v>
      </c>
      <c r="AD6">
        <f t="shared" si="8"/>
        <v>1.3665170380211231E-2</v>
      </c>
    </row>
    <row r="7" spans="1:30" x14ac:dyDescent="0.2">
      <c r="A7" s="2">
        <v>43296</v>
      </c>
      <c r="B7" s="3">
        <v>0.68767123287671228</v>
      </c>
      <c r="C7">
        <v>8.7500000000000008E-3</v>
      </c>
      <c r="D7">
        <v>99.911659782608709</v>
      </c>
      <c r="E7">
        <v>1.3999999999999999E-2</v>
      </c>
      <c r="G7" s="2">
        <f t="shared" si="0"/>
        <v>42931</v>
      </c>
      <c r="H7" s="2">
        <f t="shared" si="1"/>
        <v>43115</v>
      </c>
      <c r="I7">
        <f t="shared" si="2"/>
        <v>0.27105978260869568</v>
      </c>
      <c r="J7" s="1">
        <f>IFERROR(getBondPrice3($A$1,A7,C7,100,$W$3,$W$4,$W$5,$W$6,$W$7,$W$8,$W$9,$W$10, $W$13,$W$14,$W$15,$W$16), 100000)</f>
        <v>99.922676102001219</v>
      </c>
      <c r="K7" s="1">
        <f t="shared" si="3"/>
        <v>1.3833827461212098E-2</v>
      </c>
      <c r="L7">
        <f t="shared" si="4"/>
        <v>1.1016319392510354E-2</v>
      </c>
      <c r="M7">
        <f t="shared" si="5"/>
        <v>1.1016319392510354E-2</v>
      </c>
      <c r="N7">
        <f t="shared" si="6"/>
        <v>-1.661725387879006E-4</v>
      </c>
      <c r="O7">
        <f t="shared" si="7"/>
        <v>1.661725387879006E-4</v>
      </c>
      <c r="V7" t="s">
        <v>7</v>
      </c>
      <c r="W7" s="6">
        <v>2.7486356922575781E-4</v>
      </c>
      <c r="X7">
        <v>-0.1</v>
      </c>
      <c r="Y7">
        <v>0.1</v>
      </c>
      <c r="AD7">
        <f t="shared" si="8"/>
        <v>1.3841768806127325E-2</v>
      </c>
    </row>
    <row r="8" spans="1:30" x14ac:dyDescent="0.2">
      <c r="A8" s="2">
        <v>43312</v>
      </c>
      <c r="B8" s="3">
        <v>0.73150684931506849</v>
      </c>
      <c r="C8">
        <v>7.4999999999999997E-3</v>
      </c>
      <c r="D8">
        <v>99.715328260869569</v>
      </c>
      <c r="E8">
        <v>1.4159999999999999E-2</v>
      </c>
      <c r="G8" s="2">
        <f t="shared" si="0"/>
        <v>42947</v>
      </c>
      <c r="H8" s="2">
        <f t="shared" si="1"/>
        <v>43131</v>
      </c>
      <c r="I8">
        <f t="shared" si="2"/>
        <v>0.19972826086956522</v>
      </c>
      <c r="J8" s="1">
        <f>IFERROR(getBondPrice3($A$1,A8,C8,100,$W$3,$W$4,$W$5,$W$6,$W$7,$W$8,$W$9,$W$10, $W$13,$W$14,$W$15,$W$16), 100000)</f>
        <v>99.725580039830035</v>
      </c>
      <c r="K8" s="1">
        <f t="shared" si="3"/>
        <v>1.401387852877313E-2</v>
      </c>
      <c r="L8">
        <f t="shared" si="4"/>
        <v>1.025177896046614E-2</v>
      </c>
      <c r="M8">
        <f t="shared" si="5"/>
        <v>1.025177896046614E-2</v>
      </c>
      <c r="N8">
        <f t="shared" si="6"/>
        <v>-1.4612147122686908E-4</v>
      </c>
      <c r="O8">
        <f t="shared" si="7"/>
        <v>1.4612147122686908E-4</v>
      </c>
      <c r="V8" t="s">
        <v>6</v>
      </c>
      <c r="W8" s="6">
        <v>1.3330899876881799E-5</v>
      </c>
      <c r="X8">
        <v>-0.1</v>
      </c>
      <c r="Y8">
        <v>0.1</v>
      </c>
      <c r="AD8">
        <f t="shared" si="8"/>
        <v>1.4010845288113E-2</v>
      </c>
    </row>
    <row r="9" spans="1:30" x14ac:dyDescent="0.2">
      <c r="A9" s="2">
        <v>43327</v>
      </c>
      <c r="B9" s="3">
        <v>0.77260273972602744</v>
      </c>
      <c r="C9">
        <v>0.01</v>
      </c>
      <c r="D9">
        <v>99.897443478260868</v>
      </c>
      <c r="E9">
        <v>1.427E-2</v>
      </c>
      <c r="G9" s="2">
        <f t="shared" si="0"/>
        <v>42962</v>
      </c>
      <c r="H9" s="2">
        <f t="shared" si="1"/>
        <v>43146</v>
      </c>
      <c r="I9">
        <f t="shared" si="2"/>
        <v>0.22554347826086957</v>
      </c>
      <c r="J9" s="1">
        <f>IFERROR(getBondPrice3($A$1,A9,C9,100,$W$3,$W$4,$W$5,$W$6,$W$7,$W$8,$W$9,$W$10, $W$13,$W$14,$W$15,$W$16), 100000)</f>
        <v>99.905516162094557</v>
      </c>
      <c r="K9" s="1">
        <f t="shared" si="3"/>
        <v>1.4163912232858334E-2</v>
      </c>
      <c r="L9">
        <f t="shared" si="4"/>
        <v>8.0726838336886431E-3</v>
      </c>
      <c r="M9">
        <f t="shared" si="5"/>
        <v>8.0726838336886431E-3</v>
      </c>
      <c r="N9">
        <f t="shared" si="6"/>
        <v>-1.0608776714166566E-4</v>
      </c>
      <c r="O9">
        <f t="shared" si="7"/>
        <v>1.0608776714166566E-4</v>
      </c>
      <c r="V9" t="s">
        <v>5</v>
      </c>
      <c r="W9" s="6">
        <v>-2.1760164747925936E-5</v>
      </c>
      <c r="X9">
        <v>-0.1</v>
      </c>
      <c r="Y9">
        <v>0.1</v>
      </c>
      <c r="AD9">
        <f t="shared" si="8"/>
        <v>1.4153299401448945E-2</v>
      </c>
    </row>
    <row r="10" spans="1:30" x14ac:dyDescent="0.2">
      <c r="A10" s="2">
        <v>43343</v>
      </c>
      <c r="B10" s="3">
        <v>0.81643835616438354</v>
      </c>
      <c r="C10">
        <v>7.4999999999999997E-3</v>
      </c>
      <c r="D10">
        <v>99.576312154696126</v>
      </c>
      <c r="E10">
        <v>1.4459999999999999E-2</v>
      </c>
      <c r="G10" s="2">
        <f t="shared" si="0"/>
        <v>42978</v>
      </c>
      <c r="H10" s="2">
        <f t="shared" si="1"/>
        <v>43159</v>
      </c>
      <c r="I10">
        <f t="shared" si="2"/>
        <v>0.13881215469613259</v>
      </c>
      <c r="J10" s="1">
        <f>IFERROR(getBondPrice3($A$1,A10,C10,100,$W$3,$W$4,$W$5,$W$6,$W$7,$W$8,$W$9,$W$10, $W$13,$W$14,$W$15,$W$16), 100000)</f>
        <v>99.584386370232863</v>
      </c>
      <c r="K10" s="1">
        <f t="shared" si="3"/>
        <v>1.4363886071958282E-2</v>
      </c>
      <c r="L10">
        <f t="shared" si="4"/>
        <v>8.0742155367374835E-3</v>
      </c>
      <c r="M10">
        <f t="shared" si="5"/>
        <v>8.0742155367374835E-3</v>
      </c>
      <c r="N10">
        <f t="shared" si="6"/>
        <v>-9.6113928041716493E-5</v>
      </c>
      <c r="O10">
        <f t="shared" si="7"/>
        <v>9.6113928041716493E-5</v>
      </c>
      <c r="V10" t="s">
        <v>4</v>
      </c>
      <c r="W10" s="6">
        <v>1.3065589420157661E-6</v>
      </c>
      <c r="X10">
        <v>-0.1</v>
      </c>
      <c r="Y10">
        <v>0.1</v>
      </c>
      <c r="AD10">
        <f t="shared" si="8"/>
        <v>1.4290341940837534E-2</v>
      </c>
    </row>
    <row r="11" spans="1:30" x14ac:dyDescent="0.2">
      <c r="A11" s="2">
        <v>43358</v>
      </c>
      <c r="B11" s="3">
        <v>0.8575342465753425</v>
      </c>
      <c r="C11">
        <v>0.01</v>
      </c>
      <c r="D11">
        <v>99.74524640883979</v>
      </c>
      <c r="E11">
        <v>1.47E-2</v>
      </c>
      <c r="G11" s="2">
        <f t="shared" si="0"/>
        <v>42993</v>
      </c>
      <c r="H11" s="2">
        <f t="shared" si="1"/>
        <v>43174</v>
      </c>
      <c r="I11">
        <f t="shared" si="2"/>
        <v>0.143646408839779</v>
      </c>
      <c r="J11" s="1">
        <f>IFERROR(getBondPrice3($A$1,A11,C11,100,$W$3,$W$4,$W$5,$W$6,$W$7,$W$8,$W$9,$W$10, $W$13,$W$14,$W$15,$W$16), 100000)</f>
        <v>99.763954111370069</v>
      </c>
      <c r="K11" s="1">
        <f t="shared" si="3"/>
        <v>1.4473032482042215E-2</v>
      </c>
      <c r="L11">
        <f t="shared" si="4"/>
        <v>1.8707702530278425E-2</v>
      </c>
      <c r="M11">
        <f t="shared" si="5"/>
        <v>1.8707702530278425E-2</v>
      </c>
      <c r="N11">
        <f t="shared" si="6"/>
        <v>-2.269675179577841E-4</v>
      </c>
      <c r="O11">
        <f t="shared" si="7"/>
        <v>2.269675179577841E-4</v>
      </c>
      <c r="AD11">
        <f t="shared" si="8"/>
        <v>1.44068767243841E-2</v>
      </c>
    </row>
    <row r="12" spans="1:30" x14ac:dyDescent="0.2">
      <c r="A12" s="2">
        <v>43373</v>
      </c>
      <c r="B12" s="3">
        <v>0.89863013698630134</v>
      </c>
      <c r="C12">
        <v>7.4999999999999997E-3</v>
      </c>
      <c r="D12">
        <v>99.427836263736268</v>
      </c>
      <c r="E12">
        <v>1.4790000000000001E-2</v>
      </c>
      <c r="G12" s="2">
        <f t="shared" si="0"/>
        <v>43008</v>
      </c>
      <c r="H12" s="2">
        <f t="shared" si="1"/>
        <v>43190</v>
      </c>
      <c r="I12">
        <f t="shared" si="2"/>
        <v>7.6236263736263743E-2</v>
      </c>
      <c r="J12" s="1">
        <f>IFERROR(getBondPrice3($A$1,A12,C12,100,$W$3,$W$4,$W$5,$W$6,$W$7,$W$8,$W$9,$W$10, $W$13,$W$14,$W$15,$W$16), 100000)</f>
        <v>99.447554282191248</v>
      </c>
      <c r="K12" s="1">
        <f t="shared" si="3"/>
        <v>1.4567040538954227E-2</v>
      </c>
      <c r="L12">
        <f t="shared" si="4"/>
        <v>1.9718018454980779E-2</v>
      </c>
      <c r="M12">
        <f t="shared" si="5"/>
        <v>1.9718018454980779E-2</v>
      </c>
      <c r="N12">
        <f t="shared" si="6"/>
        <v>-2.2295946104577448E-4</v>
      </c>
      <c r="O12">
        <f t="shared" si="7"/>
        <v>2.2295946104577448E-4</v>
      </c>
      <c r="AD12">
        <f t="shared" si="8"/>
        <v>1.4513822674122916E-2</v>
      </c>
    </row>
    <row r="13" spans="1:30" x14ac:dyDescent="0.2">
      <c r="A13" s="2">
        <v>43388</v>
      </c>
      <c r="B13" s="3">
        <v>0.9397260273972603</v>
      </c>
      <c r="C13">
        <v>8.7500000000000008E-3</v>
      </c>
      <c r="D13">
        <v>99.48258461538461</v>
      </c>
      <c r="E13">
        <v>1.4879999999999999E-2</v>
      </c>
      <c r="G13" s="2">
        <f t="shared" si="0"/>
        <v>43023</v>
      </c>
      <c r="H13" s="2">
        <f t="shared" si="1"/>
        <v>43205</v>
      </c>
      <c r="I13">
        <f t="shared" si="2"/>
        <v>5.2884615384615391E-2</v>
      </c>
      <c r="J13" s="1">
        <f>IFERROR(getBondPrice3($A$1,A13,C13,100,$W$3,$W$4,$W$5,$W$6,$W$7,$W$8,$W$9,$W$10, $W$13,$W$14,$W$15,$W$16), 100000)</f>
        <v>99.502809886563313</v>
      </c>
      <c r="K13" s="1">
        <f t="shared" si="3"/>
        <v>1.4664634875109064E-2</v>
      </c>
      <c r="L13">
        <f t="shared" si="4"/>
        <v>2.0225271178702542E-2</v>
      </c>
      <c r="M13">
        <f t="shared" si="5"/>
        <v>2.0225271178702542E-2</v>
      </c>
      <c r="N13">
        <f t="shared" si="6"/>
        <v>-2.1536512489093475E-4</v>
      </c>
      <c r="O13">
        <f t="shared" si="7"/>
        <v>2.1536512489093475E-4</v>
      </c>
      <c r="V13" t="s">
        <v>3</v>
      </c>
      <c r="W13" s="6">
        <v>1</v>
      </c>
      <c r="AD13">
        <f t="shared" si="8"/>
        <v>1.4613105514432682E-2</v>
      </c>
    </row>
    <row r="14" spans="1:30" x14ac:dyDescent="0.2">
      <c r="A14" s="2">
        <v>43404</v>
      </c>
      <c r="B14" s="3">
        <v>0.98356164383561639</v>
      </c>
      <c r="C14">
        <v>7.4999999999999997E-3</v>
      </c>
      <c r="D14">
        <v>99.285830939226514</v>
      </c>
      <c r="E14">
        <v>1.4970000000000001E-2</v>
      </c>
      <c r="G14" s="2">
        <f t="shared" si="0"/>
        <v>43039</v>
      </c>
      <c r="H14" s="2">
        <f t="shared" si="1"/>
        <v>43220</v>
      </c>
      <c r="I14">
        <f t="shared" si="2"/>
        <v>1.2430939226519336E-2</v>
      </c>
      <c r="J14" s="1">
        <f>IFERROR(getBondPrice3($A$1,A14,C14,100,$W$3,$W$4,$W$5,$W$6,$W$7,$W$8,$W$9,$W$10, $W$13,$W$14,$W$15,$W$16), 100000)</f>
        <v>99.305663631720208</v>
      </c>
      <c r="K14" s="1">
        <f t="shared" si="3"/>
        <v>1.4765136636963789E-2</v>
      </c>
      <c r="L14">
        <f t="shared" si="4"/>
        <v>1.9832692493693571E-2</v>
      </c>
      <c r="M14">
        <f t="shared" si="5"/>
        <v>1.9832692493693571E-2</v>
      </c>
      <c r="N14">
        <f t="shared" si="6"/>
        <v>-2.0486336303621178E-4</v>
      </c>
      <c r="O14">
        <f t="shared" si="7"/>
        <v>2.0486336303621178E-4</v>
      </c>
      <c r="V14" t="s">
        <v>2</v>
      </c>
      <c r="W14" s="6">
        <v>2</v>
      </c>
      <c r="AD14">
        <f t="shared" si="8"/>
        <v>1.4712730505823233E-2</v>
      </c>
    </row>
    <row r="15" spans="1:30" x14ac:dyDescent="0.2">
      <c r="A15" s="2">
        <v>43419</v>
      </c>
      <c r="B15" s="3">
        <v>1.0246575342465754</v>
      </c>
      <c r="C15">
        <v>1.2500000000000001E-2</v>
      </c>
      <c r="D15">
        <v>100.33662934782609</v>
      </c>
      <c r="E15">
        <v>1.504E-2</v>
      </c>
      <c r="G15" s="2">
        <f t="shared" si="0"/>
        <v>42870</v>
      </c>
      <c r="H15" s="2">
        <f t="shared" si="1"/>
        <v>43054</v>
      </c>
      <c r="I15">
        <f t="shared" si="2"/>
        <v>0.59442934782608692</v>
      </c>
      <c r="J15" s="1">
        <f>IFERROR(getBondPrice3($A$1,A15,C15,100,$W$3,$W$4,$W$5,$W$6,$W$7,$W$8,$W$9,$W$10, $W$13,$W$14,$W$15,$W$16), 100000)</f>
        <v>100.35598744440335</v>
      </c>
      <c r="K15" s="1">
        <f t="shared" si="3"/>
        <v>1.4852817745130059E-2</v>
      </c>
      <c r="L15">
        <f t="shared" si="4"/>
        <v>1.935809657726395E-2</v>
      </c>
      <c r="M15">
        <f t="shared" si="5"/>
        <v>1.935809657726395E-2</v>
      </c>
      <c r="N15">
        <f t="shared" si="6"/>
        <v>-1.871822548699404E-4</v>
      </c>
      <c r="O15">
        <f t="shared" si="7"/>
        <v>1.871822548699404E-4</v>
      </c>
      <c r="V15" t="s">
        <v>1</v>
      </c>
      <c r="W15" s="6">
        <v>3</v>
      </c>
      <c r="AD15">
        <f t="shared" si="8"/>
        <v>1.480221345447571E-2</v>
      </c>
    </row>
    <row r="16" spans="1:30" x14ac:dyDescent="0.2">
      <c r="A16" s="2">
        <v>43434</v>
      </c>
      <c r="B16" s="3">
        <v>1.0657534246575342</v>
      </c>
      <c r="C16">
        <v>0.01</v>
      </c>
      <c r="D16">
        <v>99.903226229508192</v>
      </c>
      <c r="E16">
        <v>1.504E-2</v>
      </c>
      <c r="G16" s="2">
        <f t="shared" si="0"/>
        <v>42886</v>
      </c>
      <c r="H16" s="2">
        <f t="shared" si="1"/>
        <v>43069</v>
      </c>
      <c r="I16">
        <f t="shared" si="2"/>
        <v>0.4344262295081967</v>
      </c>
      <c r="J16" s="1">
        <f>IFERROR(getBondPrice3($A$1,A16,C16,100,$W$3,$W$4,$W$5,$W$6,$W$7,$W$8,$W$9,$W$10, $W$13,$W$14,$W$15,$W$16), 100000)</f>
        <v>99.913874742613359</v>
      </c>
      <c r="K16" s="1">
        <f t="shared" si="3"/>
        <v>1.4940373613737649E-2</v>
      </c>
      <c r="L16">
        <f t="shared" si="4"/>
        <v>1.0648513105167012E-2</v>
      </c>
      <c r="M16">
        <f t="shared" si="5"/>
        <v>1.0648513105167012E-2</v>
      </c>
      <c r="N16">
        <f t="shared" si="6"/>
        <v>-9.9626386262350458E-5</v>
      </c>
      <c r="O16">
        <f t="shared" si="7"/>
        <v>9.9626386262350458E-5</v>
      </c>
      <c r="V16" t="s">
        <v>0</v>
      </c>
      <c r="W16" s="6">
        <v>4</v>
      </c>
      <c r="AD16">
        <f t="shared" si="8"/>
        <v>1.4888832771269095E-2</v>
      </c>
    </row>
    <row r="17" spans="1:30" x14ac:dyDescent="0.2">
      <c r="A17" s="2">
        <v>43449</v>
      </c>
      <c r="B17" s="3">
        <v>1.106849315068493</v>
      </c>
      <c r="C17">
        <v>1.2500000000000001E-2</v>
      </c>
      <c r="D17">
        <v>100.19490327868853</v>
      </c>
      <c r="E17">
        <v>1.521E-2</v>
      </c>
      <c r="G17" s="2">
        <f t="shared" si="0"/>
        <v>42901</v>
      </c>
      <c r="H17" s="2">
        <f t="shared" si="1"/>
        <v>43084</v>
      </c>
      <c r="I17">
        <f t="shared" si="2"/>
        <v>0.49180327868852458</v>
      </c>
      <c r="J17" s="1">
        <f>IFERROR(getBondPrice3($A$1,A17,C17,100,$W$3,$W$4,$W$5,$W$6,$W$7,$W$8,$W$9,$W$10, $W$13,$W$14,$W$15,$W$16), 100000)</f>
        <v>100.21546494844875</v>
      </c>
      <c r="K17" s="1">
        <f t="shared" si="3"/>
        <v>1.5023873712982791E-2</v>
      </c>
      <c r="L17">
        <f t="shared" si="4"/>
        <v>2.0561669760226664E-2</v>
      </c>
      <c r="M17">
        <f t="shared" si="5"/>
        <v>2.0561669760226664E-2</v>
      </c>
      <c r="N17">
        <f t="shared" si="6"/>
        <v>-1.8612628701720861E-4</v>
      </c>
      <c r="O17">
        <f t="shared" si="7"/>
        <v>1.8612628701720861E-4</v>
      </c>
      <c r="AD17">
        <f t="shared" si="8"/>
        <v>1.497272223893144E-2</v>
      </c>
    </row>
    <row r="18" spans="1:30" x14ac:dyDescent="0.2">
      <c r="A18" s="2">
        <v>43465</v>
      </c>
      <c r="B18" s="3">
        <v>1.1506849315068493</v>
      </c>
      <c r="C18">
        <v>1.2500000000000001E-2</v>
      </c>
      <c r="D18">
        <v>100.1412793478261</v>
      </c>
      <c r="E18">
        <v>1.5109999999999998E-2</v>
      </c>
      <c r="G18" s="2">
        <f t="shared" si="0"/>
        <v>42916</v>
      </c>
      <c r="H18" s="2">
        <f t="shared" si="1"/>
        <v>43100</v>
      </c>
      <c r="I18">
        <f t="shared" si="2"/>
        <v>0.43817934782608697</v>
      </c>
      <c r="J18" s="1">
        <f>IFERROR(getBondPrice3($A$1,A18,C18,100,$W$3,$W$4,$W$5,$W$6,$W$7,$W$8,$W$9,$W$10, $W$13,$W$14,$W$15,$W$16), 100000)</f>
        <v>100.13995054637896</v>
      </c>
      <c r="K18" s="1">
        <f t="shared" si="3"/>
        <v>1.5122584204926846E-2</v>
      </c>
      <c r="L18">
        <f t="shared" si="4"/>
        <v>-1.3288014471442011E-3</v>
      </c>
      <c r="M18">
        <f t="shared" si="5"/>
        <v>1.3288014471442011E-3</v>
      </c>
      <c r="N18">
        <f t="shared" si="6"/>
        <v>1.2584204926847573E-5</v>
      </c>
      <c r="O18">
        <f t="shared" si="7"/>
        <v>1.2584204926847573E-5</v>
      </c>
      <c r="AD18">
        <f t="shared" si="8"/>
        <v>1.5059324404246959E-2</v>
      </c>
    </row>
    <row r="19" spans="1:30" x14ac:dyDescent="0.2">
      <c r="A19" s="2">
        <v>43480</v>
      </c>
      <c r="B19" s="3">
        <v>1.1917808219178083</v>
      </c>
      <c r="C19">
        <v>1.125E-2</v>
      </c>
      <c r="D19">
        <v>99.895405434782603</v>
      </c>
      <c r="E19">
        <v>1.5100000000000001E-2</v>
      </c>
      <c r="G19" s="2">
        <f t="shared" si="0"/>
        <v>42931</v>
      </c>
      <c r="H19" s="2">
        <f t="shared" si="1"/>
        <v>43115</v>
      </c>
      <c r="I19">
        <f t="shared" si="2"/>
        <v>0.3485054347826087</v>
      </c>
      <c r="J19" s="1">
        <f>IFERROR(getBondPrice3($A$1,A19,C19,100,$W$3,$W$4,$W$5,$W$6,$W$7,$W$8,$W$9,$W$10, $W$13,$W$14,$W$15,$W$16), 100000)</f>
        <v>99.883105177136471</v>
      </c>
      <c r="K19" s="1">
        <f t="shared" si="3"/>
        <v>1.5206275428249675E-2</v>
      </c>
      <c r="L19">
        <f t="shared" si="4"/>
        <v>-1.230025764613174E-2</v>
      </c>
      <c r="M19">
        <f t="shared" si="5"/>
        <v>1.230025764613174E-2</v>
      </c>
      <c r="N19">
        <f t="shared" si="6"/>
        <v>1.0627542824967473E-4</v>
      </c>
      <c r="O19">
        <f t="shared" si="7"/>
        <v>1.0627542824967473E-4</v>
      </c>
      <c r="AD19">
        <f t="shared" si="8"/>
        <v>1.5137934902974241E-2</v>
      </c>
    </row>
    <row r="20" spans="1:30" x14ac:dyDescent="0.2">
      <c r="A20" s="2">
        <v>43496</v>
      </c>
      <c r="B20" s="3">
        <v>1.2356164383561643</v>
      </c>
      <c r="C20">
        <v>1.125E-2</v>
      </c>
      <c r="D20">
        <v>99.81519239130435</v>
      </c>
      <c r="E20">
        <v>1.5220000000000001E-2</v>
      </c>
      <c r="G20" s="2">
        <f t="shared" si="0"/>
        <v>42947</v>
      </c>
      <c r="H20" s="2">
        <f t="shared" si="1"/>
        <v>43131</v>
      </c>
      <c r="I20">
        <f t="shared" si="2"/>
        <v>0.29959239130434784</v>
      </c>
      <c r="J20" s="1">
        <f>IFERROR(getBondPrice3($A$1,A20,C20,100,$W$3,$W$4,$W$5,$W$6,$W$7,$W$8,$W$9,$W$10, $W$13,$W$14,$W$15,$W$16), 100000)</f>
        <v>99.806960005256769</v>
      </c>
      <c r="K20" s="1">
        <f t="shared" si="3"/>
        <v>1.5291793532347886E-2</v>
      </c>
      <c r="L20">
        <f t="shared" si="4"/>
        <v>-8.2323860475810307E-3</v>
      </c>
      <c r="M20">
        <f t="shared" si="5"/>
        <v>8.2323860475810307E-3</v>
      </c>
      <c r="N20">
        <f t="shared" si="6"/>
        <v>7.1793532347885075E-5</v>
      </c>
      <c r="O20">
        <f t="shared" si="7"/>
        <v>7.1793532347885075E-5</v>
      </c>
      <c r="AD20">
        <f t="shared" si="8"/>
        <v>1.5219166905422013E-2</v>
      </c>
    </row>
    <row r="21" spans="1:30" x14ac:dyDescent="0.2">
      <c r="A21" s="2">
        <v>43511</v>
      </c>
      <c r="B21" s="3">
        <v>1.2767123287671234</v>
      </c>
      <c r="C21">
        <v>7.4999999999999997E-3</v>
      </c>
      <c r="D21">
        <v>99.184757608695662</v>
      </c>
      <c r="E21">
        <v>1.533E-2</v>
      </c>
      <c r="G21" s="2">
        <f t="shared" si="0"/>
        <v>42962</v>
      </c>
      <c r="H21" s="2">
        <f t="shared" si="1"/>
        <v>43146</v>
      </c>
      <c r="I21">
        <f t="shared" si="2"/>
        <v>0.16915760869565216</v>
      </c>
      <c r="J21" s="1">
        <f>IFERROR(getBondPrice3($A$1,A21,C21,100,$W$3,$W$4,$W$5,$W$6,$W$7,$W$8,$W$9,$W$10, $W$13,$W$14,$W$15,$W$16), 100000)</f>
        <v>99.178997354813589</v>
      </c>
      <c r="K21" s="1">
        <f t="shared" si="3"/>
        <v>1.5372622213639756E-2</v>
      </c>
      <c r="L21">
        <f t="shared" si="4"/>
        <v>-5.7602538820731297E-3</v>
      </c>
      <c r="M21">
        <f t="shared" si="5"/>
        <v>5.7602538820731297E-3</v>
      </c>
      <c r="N21">
        <f t="shared" si="6"/>
        <v>4.2622213639756032E-5</v>
      </c>
      <c r="O21">
        <f t="shared" si="7"/>
        <v>4.2622213639756032E-5</v>
      </c>
      <c r="AD21">
        <f t="shared" si="8"/>
        <v>1.5292987317707325E-2</v>
      </c>
    </row>
    <row r="22" spans="1:30" x14ac:dyDescent="0.2">
      <c r="A22" s="2">
        <v>43524</v>
      </c>
      <c r="B22" s="3">
        <v>1.3123287671232877</v>
      </c>
      <c r="C22">
        <v>1.125E-2</v>
      </c>
      <c r="D22">
        <v>99.684818232044208</v>
      </c>
      <c r="E22">
        <v>1.528E-2</v>
      </c>
      <c r="G22" s="2">
        <f t="shared" si="0"/>
        <v>42978</v>
      </c>
      <c r="H22" s="2">
        <f t="shared" si="1"/>
        <v>43159</v>
      </c>
      <c r="I22">
        <f t="shared" si="2"/>
        <v>0.2082182320441989</v>
      </c>
      <c r="J22" s="1">
        <f>IFERROR(getBondPrice3($A$1,A22,C22,100,$W$3,$W$4,$W$5,$W$6,$W$7,$W$8,$W$9,$W$10, $W$13,$W$14,$W$15,$W$16), 100000)</f>
        <v>99.672822759751924</v>
      </c>
      <c r="K22" s="1">
        <f t="shared" si="3"/>
        <v>1.537476055328659E-2</v>
      </c>
      <c r="L22">
        <f t="shared" si="4"/>
        <v>-1.1995472292284148E-2</v>
      </c>
      <c r="M22">
        <f t="shared" si="5"/>
        <v>1.1995472292284148E-2</v>
      </c>
      <c r="N22">
        <f t="shared" si="6"/>
        <v>9.4760553286589444E-5</v>
      </c>
      <c r="O22">
        <f t="shared" si="7"/>
        <v>9.4760553286589444E-5</v>
      </c>
      <c r="AD22">
        <f t="shared" si="8"/>
        <v>1.5355228031363135E-2</v>
      </c>
    </row>
    <row r="23" spans="1:30" x14ac:dyDescent="0.2">
      <c r="A23" s="2">
        <v>43539</v>
      </c>
      <c r="B23" s="3">
        <v>1.3534246575342466</v>
      </c>
      <c r="C23">
        <v>0.01</v>
      </c>
      <c r="D23">
        <v>99.424946408839787</v>
      </c>
      <c r="E23">
        <v>1.537E-2</v>
      </c>
      <c r="G23" s="2">
        <f t="shared" si="0"/>
        <v>42993</v>
      </c>
      <c r="H23" s="2">
        <f t="shared" si="1"/>
        <v>43174</v>
      </c>
      <c r="I23">
        <f t="shared" si="2"/>
        <v>0.143646408839779</v>
      </c>
      <c r="J23" s="1">
        <f>IFERROR(getBondPrice3($A$1,A23,C23,100,$W$3,$W$4,$W$5,$W$6,$W$7,$W$8,$W$9,$W$10, $W$13,$W$14,$W$15,$W$16), 100000)</f>
        <v>99.415427075899771</v>
      </c>
      <c r="K23" s="1">
        <f t="shared" si="3"/>
        <v>1.5443133290347412E-2</v>
      </c>
      <c r="L23">
        <f t="shared" si="4"/>
        <v>-9.5193329400160565E-3</v>
      </c>
      <c r="M23">
        <f t="shared" si="5"/>
        <v>9.5193329400160565E-3</v>
      </c>
      <c r="N23">
        <f t="shared" si="6"/>
        <v>7.3133290347412311E-5</v>
      </c>
      <c r="O23">
        <f t="shared" si="7"/>
        <v>7.3133290347412311E-5</v>
      </c>
      <c r="AD23">
        <f t="shared" si="8"/>
        <v>1.5425142118890567E-2</v>
      </c>
    </row>
    <row r="24" spans="1:30" x14ac:dyDescent="0.2">
      <c r="A24" s="2">
        <v>43555</v>
      </c>
      <c r="B24" s="3">
        <v>1.3972602739726028</v>
      </c>
      <c r="C24">
        <v>1.2500000000000001E-2</v>
      </c>
      <c r="D24">
        <v>99.72086043956044</v>
      </c>
      <c r="E24">
        <v>1.5449999999999998E-2</v>
      </c>
      <c r="G24" s="2">
        <f t="shared" si="0"/>
        <v>43008</v>
      </c>
      <c r="H24" s="2">
        <f t="shared" si="1"/>
        <v>43190</v>
      </c>
      <c r="I24">
        <f t="shared" si="2"/>
        <v>0.12706043956043955</v>
      </c>
      <c r="J24" s="1">
        <f>IFERROR(getBondPrice3($A$1,A24,C24,100,$W$3,$W$4,$W$5,$W$6,$W$7,$W$8,$W$9,$W$10, $W$13,$W$14,$W$15,$W$16), 100000)</f>
        <v>99.708373809566822</v>
      </c>
      <c r="K24" s="1">
        <f t="shared" si="3"/>
        <v>1.5535557947348812E-2</v>
      </c>
      <c r="L24">
        <f t="shared" si="4"/>
        <v>-1.2486629993617271E-2</v>
      </c>
      <c r="M24">
        <f t="shared" si="5"/>
        <v>1.2486629993617271E-2</v>
      </c>
      <c r="N24">
        <f t="shared" si="6"/>
        <v>8.5557947348813973E-5</v>
      </c>
      <c r="O24">
        <f t="shared" si="7"/>
        <v>8.5557947348813973E-5</v>
      </c>
      <c r="AD24">
        <f t="shared" si="8"/>
        <v>1.5497594191406333E-2</v>
      </c>
    </row>
    <row r="25" spans="1:30" x14ac:dyDescent="0.2">
      <c r="A25" s="2">
        <v>43570</v>
      </c>
      <c r="B25" s="3">
        <v>1.4383561643835616</v>
      </c>
      <c r="C25">
        <v>8.7500000000000008E-3</v>
      </c>
      <c r="D25">
        <v>99.091984615384618</v>
      </c>
      <c r="E25">
        <v>1.5529999999999999E-2</v>
      </c>
      <c r="G25" s="2">
        <f t="shared" si="0"/>
        <v>43023</v>
      </c>
      <c r="H25" s="2">
        <f t="shared" si="1"/>
        <v>43205</v>
      </c>
      <c r="I25">
        <f t="shared" si="2"/>
        <v>5.2884615384615391E-2</v>
      </c>
      <c r="J25" s="1">
        <f>IFERROR(getBondPrice3($A$1,A25,C25,100,$W$3,$W$4,$W$5,$W$6,$W$7,$W$8,$W$9,$W$10, $W$13,$W$14,$W$15,$W$16), 100000)</f>
        <v>99.080734414482279</v>
      </c>
      <c r="K25" s="1">
        <f t="shared" si="3"/>
        <v>1.5604273169831854E-2</v>
      </c>
      <c r="L25">
        <f t="shared" si="4"/>
        <v>-1.1250200902338747E-2</v>
      </c>
      <c r="M25">
        <f t="shared" si="5"/>
        <v>1.1250200902338747E-2</v>
      </c>
      <c r="N25">
        <f t="shared" si="6"/>
        <v>7.4273169831854877E-5</v>
      </c>
      <c r="O25">
        <f t="shared" si="7"/>
        <v>7.4273169831854877E-5</v>
      </c>
      <c r="AD25">
        <f t="shared" si="8"/>
        <v>1.5563648646268994E-2</v>
      </c>
    </row>
    <row r="26" spans="1:30" x14ac:dyDescent="0.2">
      <c r="A26" s="2">
        <v>43585</v>
      </c>
      <c r="B26" s="3">
        <v>1.4794520547945205</v>
      </c>
      <c r="C26">
        <v>1.2500000000000001E-2</v>
      </c>
      <c r="D26">
        <v>99.567618232044197</v>
      </c>
      <c r="E26">
        <v>1.5600000000000001E-2</v>
      </c>
      <c r="G26" s="2">
        <f t="shared" si="0"/>
        <v>43039</v>
      </c>
      <c r="H26" s="2">
        <f t="shared" si="1"/>
        <v>43220</v>
      </c>
      <c r="I26">
        <f t="shared" si="2"/>
        <v>2.0718232044198894E-2</v>
      </c>
      <c r="J26" s="1">
        <f>IFERROR(getBondPrice3($A$1,A26,C26,100,$W$3,$W$4,$W$5,$W$6,$W$7,$W$8,$W$9,$W$10, $W$13,$W$14,$W$15,$W$16), 100000)</f>
        <v>99.56236884997567</v>
      </c>
      <c r="K26" s="1">
        <f t="shared" si="3"/>
        <v>1.5637308720809207E-2</v>
      </c>
      <c r="L26">
        <f t="shared" si="4"/>
        <v>-5.2493820685270975E-3</v>
      </c>
      <c r="M26">
        <f t="shared" si="5"/>
        <v>5.2493820685270975E-3</v>
      </c>
      <c r="N26">
        <f t="shared" si="6"/>
        <v>3.7308720809205512E-5</v>
      </c>
      <c r="O26">
        <f t="shared" si="7"/>
        <v>3.7308720809205512E-5</v>
      </c>
      <c r="AD26">
        <f t="shared" si="8"/>
        <v>1.5628011046262765E-2</v>
      </c>
    </row>
    <row r="27" spans="1:30" x14ac:dyDescent="0.2">
      <c r="A27" s="2">
        <v>43600</v>
      </c>
      <c r="B27" s="3">
        <v>1.5205479452054795</v>
      </c>
      <c r="C27">
        <v>8.7500000000000008E-3</v>
      </c>
      <c r="D27">
        <v>99.384900543478267</v>
      </c>
      <c r="E27">
        <v>1.562E-2</v>
      </c>
      <c r="G27" s="2">
        <f t="shared" si="0"/>
        <v>42870</v>
      </c>
      <c r="H27" s="2">
        <f t="shared" si="1"/>
        <v>43054</v>
      </c>
      <c r="I27">
        <f t="shared" si="2"/>
        <v>0.41610054347826092</v>
      </c>
      <c r="J27" s="1">
        <f>IFERROR(getBondPrice3($A$1,A27,C27,100,$W$3,$W$4,$W$5,$W$6,$W$7,$W$8,$W$9,$W$10, $W$13,$W$14,$W$15,$W$16), 100000)</f>
        <v>99.372445497796463</v>
      </c>
      <c r="K27" s="1">
        <f t="shared" si="3"/>
        <v>1.5704669189899916E-2</v>
      </c>
      <c r="L27">
        <f t="shared" si="4"/>
        <v>-1.2455045681804222E-2</v>
      </c>
      <c r="M27">
        <f t="shared" si="5"/>
        <v>1.2455045681804222E-2</v>
      </c>
      <c r="N27">
        <f t="shared" si="6"/>
        <v>8.4669189899915995E-5</v>
      </c>
      <c r="O27">
        <f t="shared" si="7"/>
        <v>8.4669189899915995E-5</v>
      </c>
      <c r="AD27">
        <f t="shared" si="8"/>
        <v>1.5690795853990091E-2</v>
      </c>
    </row>
    <row r="28" spans="1:30" x14ac:dyDescent="0.2">
      <c r="A28" s="2">
        <v>43616</v>
      </c>
      <c r="B28" s="3">
        <v>1.5643835616438355</v>
      </c>
      <c r="C28">
        <v>1.125E-2</v>
      </c>
      <c r="D28">
        <v>99.832529508196728</v>
      </c>
      <c r="E28">
        <v>1.5509999999999999E-2</v>
      </c>
      <c r="G28" s="2">
        <f t="shared" si="0"/>
        <v>42886</v>
      </c>
      <c r="H28" s="2">
        <f t="shared" si="1"/>
        <v>43069</v>
      </c>
      <c r="I28">
        <f t="shared" si="2"/>
        <v>0.48872950819672129</v>
      </c>
      <c r="J28" s="1">
        <f>IFERROR(getBondPrice3($A$1,A28,C28,100,$W$3,$W$4,$W$5,$W$6,$W$7,$W$8,$W$9,$W$10, $W$13,$W$14,$W$15,$W$16), 100000)</f>
        <v>99.788218075136555</v>
      </c>
      <c r="K28" s="1">
        <f t="shared" si="3"/>
        <v>1.5796032782085162E-2</v>
      </c>
      <c r="L28">
        <f t="shared" si="4"/>
        <v>-4.4311433060173044E-2</v>
      </c>
      <c r="M28">
        <f t="shared" si="5"/>
        <v>4.4311433060173044E-2</v>
      </c>
      <c r="N28">
        <f t="shared" si="6"/>
        <v>2.8603278208516256E-4</v>
      </c>
      <c r="O28">
        <f t="shared" si="7"/>
        <v>2.8603278208516256E-4</v>
      </c>
      <c r="AD28">
        <f t="shared" si="8"/>
        <v>1.5756156425163457E-2</v>
      </c>
    </row>
    <row r="29" spans="1:30" x14ac:dyDescent="0.2">
      <c r="A29" s="2">
        <v>43631</v>
      </c>
      <c r="B29" s="3">
        <v>1.6054794520547946</v>
      </c>
      <c r="C29">
        <v>8.7500000000000008E-3</v>
      </c>
      <c r="D29">
        <v>99.219262295081961</v>
      </c>
      <c r="E29">
        <v>1.5890000000000001E-2</v>
      </c>
      <c r="G29" s="2">
        <f t="shared" si="0"/>
        <v>42901</v>
      </c>
      <c r="H29" s="2">
        <f t="shared" si="1"/>
        <v>43084</v>
      </c>
      <c r="I29">
        <f t="shared" si="2"/>
        <v>0.34426229508196726</v>
      </c>
      <c r="J29" s="1">
        <f>IFERROR(getBondPrice3($A$1,A29,C29,100,$W$3,$W$4,$W$5,$W$6,$W$7,$W$8,$W$9,$W$10, $W$13,$W$14,$W$15,$W$16), 100000)</f>
        <v>99.220608728429582</v>
      </c>
      <c r="K29" s="1">
        <f t="shared" si="3"/>
        <v>1.5859509379534325E-2</v>
      </c>
      <c r="L29">
        <f t="shared" si="4"/>
        <v>1.3464333476207457E-3</v>
      </c>
      <c r="M29">
        <f t="shared" si="5"/>
        <v>1.3464333476207457E-3</v>
      </c>
      <c r="N29">
        <f t="shared" si="6"/>
        <v>-3.0490620465676438E-5</v>
      </c>
      <c r="O29">
        <f t="shared" si="7"/>
        <v>3.0490620465676438E-5</v>
      </c>
      <c r="AD29">
        <f t="shared" si="8"/>
        <v>1.5816043594809211E-2</v>
      </c>
    </row>
    <row r="30" spans="1:30" x14ac:dyDescent="0.2">
      <c r="A30" s="2">
        <v>43646</v>
      </c>
      <c r="B30" s="3">
        <v>1.6465753424657534</v>
      </c>
      <c r="C30">
        <v>0.01</v>
      </c>
      <c r="D30">
        <v>99.405243478260871</v>
      </c>
      <c r="E30">
        <v>1.583E-2</v>
      </c>
      <c r="G30" s="2">
        <f t="shared" si="0"/>
        <v>42916</v>
      </c>
      <c r="H30" s="2">
        <f t="shared" si="1"/>
        <v>43100</v>
      </c>
      <c r="I30">
        <f t="shared" si="2"/>
        <v>0.35054347826086957</v>
      </c>
      <c r="J30" s="1">
        <f>IFERROR(getBondPrice3($A$1,A30,C30,100,$W$3,$W$4,$W$5,$W$6,$W$7,$W$8,$W$9,$W$10, $W$13,$W$14,$W$15,$W$16), 100000)</f>
        <v>99.393378012923478</v>
      </c>
      <c r="K30" s="1">
        <f t="shared" si="3"/>
        <v>1.5899815546765474E-2</v>
      </c>
      <c r="L30">
        <f t="shared" si="4"/>
        <v>-1.1865465337393744E-2</v>
      </c>
      <c r="M30">
        <f t="shared" si="5"/>
        <v>1.1865465337393744E-2</v>
      </c>
      <c r="N30">
        <f t="shared" si="6"/>
        <v>6.9815546765474024E-5</v>
      </c>
      <c r="O30">
        <f t="shared" si="7"/>
        <v>6.9815546765474024E-5</v>
      </c>
      <c r="AD30">
        <f t="shared" si="8"/>
        <v>1.5874704190836014E-2</v>
      </c>
    </row>
    <row r="31" spans="1:30" x14ac:dyDescent="0.2">
      <c r="A31" s="2">
        <v>43661</v>
      </c>
      <c r="B31" s="3">
        <v>1.6876712328767123</v>
      </c>
      <c r="C31">
        <v>7.4999999999999997E-3</v>
      </c>
      <c r="D31">
        <v>98.857336956521735</v>
      </c>
      <c r="E31">
        <v>1.5769999999999999E-2</v>
      </c>
      <c r="G31" s="2">
        <f t="shared" si="0"/>
        <v>42931</v>
      </c>
      <c r="H31" s="2">
        <f t="shared" si="1"/>
        <v>43115</v>
      </c>
      <c r="I31">
        <f t="shared" si="2"/>
        <v>0.23233695652173914</v>
      </c>
      <c r="J31" s="1">
        <f>IFERROR(getBondPrice3($A$1,A31,C31,100,$W$3,$W$4,$W$5,$W$6,$W$7,$W$8,$W$9,$W$10, $W$13,$W$14,$W$15,$W$16), 100000)</f>
        <v>98.826063958055599</v>
      </c>
      <c r="K31" s="1">
        <f t="shared" si="3"/>
        <v>1.5963867553358824E-2</v>
      </c>
      <c r="L31">
        <f t="shared" si="4"/>
        <v>-3.1272998466135959E-2</v>
      </c>
      <c r="M31">
        <f t="shared" si="5"/>
        <v>3.1272998466135959E-2</v>
      </c>
      <c r="N31">
        <f t="shared" si="6"/>
        <v>1.9386755335882438E-4</v>
      </c>
      <c r="O31">
        <f t="shared" si="7"/>
        <v>1.9386755335882438E-4</v>
      </c>
      <c r="AD31">
        <f t="shared" si="8"/>
        <v>1.5932252675846307E-2</v>
      </c>
    </row>
    <row r="32" spans="1:30" x14ac:dyDescent="0.2">
      <c r="A32" s="2">
        <v>43677</v>
      </c>
      <c r="B32" s="3">
        <v>1.7315068493150685</v>
      </c>
      <c r="C32">
        <v>8.7500000000000008E-3</v>
      </c>
      <c r="D32">
        <v>99.022116304347833</v>
      </c>
      <c r="E32">
        <v>1.5859999999999999E-2</v>
      </c>
      <c r="G32" s="2">
        <f t="shared" si="0"/>
        <v>42947</v>
      </c>
      <c r="H32" s="2">
        <f t="shared" si="1"/>
        <v>43131</v>
      </c>
      <c r="I32">
        <f t="shared" si="2"/>
        <v>0.23301630434782614</v>
      </c>
      <c r="J32" s="1">
        <f>IFERROR(getBondPrice3($A$1,A32,C32,100,$W$3,$W$4,$W$5,$W$6,$W$7,$W$8,$W$9,$W$10, $W$13,$W$14,$W$15,$W$16), 100000)</f>
        <v>98.993227068113583</v>
      </c>
      <c r="K32" s="1">
        <f t="shared" si="3"/>
        <v>1.6027006691289526E-2</v>
      </c>
      <c r="L32">
        <f t="shared" si="4"/>
        <v>-2.8889236234249438E-2</v>
      </c>
      <c r="M32">
        <f t="shared" si="5"/>
        <v>2.8889236234249438E-2</v>
      </c>
      <c r="N32">
        <f t="shared" si="6"/>
        <v>1.6700669128952642E-4</v>
      </c>
      <c r="O32">
        <f t="shared" si="7"/>
        <v>1.6700669128952642E-4</v>
      </c>
      <c r="AD32">
        <f t="shared" si="8"/>
        <v>1.5992540899899207E-2</v>
      </c>
    </row>
    <row r="33" spans="1:30" x14ac:dyDescent="0.2">
      <c r="A33" s="2">
        <v>43692</v>
      </c>
      <c r="B33" s="3">
        <v>1.7726027397260273</v>
      </c>
      <c r="C33">
        <v>7.4999999999999997E-3</v>
      </c>
      <c r="D33">
        <v>98.700457608695658</v>
      </c>
      <c r="E33">
        <v>1.593E-2</v>
      </c>
      <c r="G33" s="2">
        <f t="shared" si="0"/>
        <v>42962</v>
      </c>
      <c r="H33" s="2">
        <f t="shared" si="1"/>
        <v>43146</v>
      </c>
      <c r="I33">
        <f t="shared" si="2"/>
        <v>0.16915760869565216</v>
      </c>
      <c r="J33" s="1">
        <f>IFERROR(getBondPrice3($A$1,A33,C33,100,$W$3,$W$4,$W$5,$W$6,$W$7,$W$8,$W$9,$W$10, $W$13,$W$14,$W$15,$W$16), 100000)</f>
        <v>98.672397749782377</v>
      </c>
      <c r="K33" s="1">
        <f t="shared" si="3"/>
        <v>1.6087746092843844E-2</v>
      </c>
      <c r="L33">
        <f t="shared" si="4"/>
        <v>-2.8059858913280777E-2</v>
      </c>
      <c r="M33">
        <f t="shared" si="5"/>
        <v>2.8059858913280777E-2</v>
      </c>
      <c r="N33">
        <f t="shared" si="6"/>
        <v>1.57746092843844E-4</v>
      </c>
      <c r="O33">
        <f t="shared" si="7"/>
        <v>1.57746092843844E-4</v>
      </c>
      <c r="AD33">
        <f t="shared" si="8"/>
        <v>1.6048153741411122E-2</v>
      </c>
    </row>
    <row r="34" spans="1:30" x14ac:dyDescent="0.2">
      <c r="A34" s="2">
        <v>43708</v>
      </c>
      <c r="B34" s="3">
        <v>1.8164383561643835</v>
      </c>
      <c r="C34">
        <v>0.01</v>
      </c>
      <c r="D34">
        <v>99.099182872928182</v>
      </c>
      <c r="E34">
        <v>1.609E-2</v>
      </c>
      <c r="G34" s="2">
        <f t="shared" si="0"/>
        <v>42978</v>
      </c>
      <c r="H34" s="2">
        <f t="shared" si="1"/>
        <v>43159</v>
      </c>
      <c r="I34">
        <f t="shared" si="2"/>
        <v>0.18508287292817679</v>
      </c>
      <c r="J34" s="1">
        <f>IFERROR(getBondPrice3($A$1,A34,C34,100,$W$3,$W$4,$W$5,$W$6,$W$7,$W$8,$W$9,$W$10, $W$13,$W$14,$W$15,$W$16), 100000)</f>
        <v>99.084754009538202</v>
      </c>
      <c r="K34" s="1">
        <f t="shared" si="3"/>
        <v>1.6173958935143069E-2</v>
      </c>
      <c r="L34">
        <f t="shared" si="4"/>
        <v>-1.4428863389980506E-2</v>
      </c>
      <c r="M34">
        <f t="shared" si="5"/>
        <v>1.4428863389980506E-2</v>
      </c>
      <c r="N34">
        <f t="shared" si="6"/>
        <v>8.395893514306918E-5</v>
      </c>
      <c r="O34">
        <f t="shared" si="7"/>
        <v>8.395893514306918E-5</v>
      </c>
      <c r="AD34">
        <f t="shared" si="8"/>
        <v>1.6106638016395405E-2</v>
      </c>
    </row>
    <row r="35" spans="1:30" x14ac:dyDescent="0.2">
      <c r="A35" s="2">
        <v>43723</v>
      </c>
      <c r="B35" s="3">
        <v>1.8575342465753424</v>
      </c>
      <c r="C35">
        <v>8.7500000000000008E-3</v>
      </c>
      <c r="D35">
        <v>98.781990607734812</v>
      </c>
      <c r="E35">
        <v>1.6129999999999999E-2</v>
      </c>
      <c r="G35" s="2">
        <f t="shared" ref="G35:G66" si="9">COUPPCD($A$1,A35,2,1)</f>
        <v>42993</v>
      </c>
      <c r="H35" s="2">
        <f t="shared" ref="H35:H66" si="10">COUPNCD($A$1,A35,2,1)</f>
        <v>43174</v>
      </c>
      <c r="I35">
        <f t="shared" ref="I35:I66" si="11">100*C35/2*($A$1-G35)/(H35-G35)</f>
        <v>0.12569060773480664</v>
      </c>
      <c r="J35" s="1">
        <f>IFERROR(getBondPrice3($A$1,A35,C35,100,$W$3,$W$4,$W$5,$W$6,$W$7,$W$8,$W$9,$W$10, $W$13,$W$14,$W$15,$W$16), 100000)</f>
        <v>98.76352719168267</v>
      </c>
      <c r="K35" s="1">
        <f t="shared" ref="K35:K66" si="12">IFERROR(YIELD($A$1,A35,C35,J35-I35,100,2,1),-2)</f>
        <v>1.6226655067081021E-2</v>
      </c>
      <c r="L35">
        <f t="shared" ref="L35:L66" si="13">J35-D35</f>
        <v>-1.8463416052142634E-2</v>
      </c>
      <c r="M35">
        <f t="shared" ref="M35:M66" si="14">ABS(L35)</f>
        <v>1.8463416052142634E-2</v>
      </c>
      <c r="N35">
        <f t="shared" ref="N35:N66" si="15">K35-E35</f>
        <v>9.6655067081022339E-5</v>
      </c>
      <c r="O35">
        <f t="shared" ref="O35:O66" si="16">ABS(N35)</f>
        <v>9.6655067081022339E-5</v>
      </c>
      <c r="AD35">
        <f t="shared" si="8"/>
        <v>1.616080409690205E-2</v>
      </c>
    </row>
    <row r="36" spans="1:30" x14ac:dyDescent="0.2">
      <c r="A36" s="2">
        <v>43738</v>
      </c>
      <c r="B36" s="3">
        <v>1.8986301369863015</v>
      </c>
      <c r="C36">
        <v>0.01</v>
      </c>
      <c r="D36">
        <v>98.968848351648347</v>
      </c>
      <c r="E36">
        <v>1.6080000000000001E-2</v>
      </c>
      <c r="G36" s="2">
        <f t="shared" si="9"/>
        <v>43008</v>
      </c>
      <c r="H36" s="2">
        <f t="shared" si="10"/>
        <v>43190</v>
      </c>
      <c r="I36">
        <f t="shared" si="11"/>
        <v>0.10164835164835165</v>
      </c>
      <c r="J36" s="1">
        <f>IFERROR(getBondPrice3($A$1,A36,C36,100,$W$3,$W$4,$W$5,$W$6,$W$7,$W$8,$W$9,$W$10, $W$13,$W$14,$W$15,$W$16), 100000)</f>
        <v>98.93363376301788</v>
      </c>
      <c r="K36" s="1">
        <f t="shared" si="12"/>
        <v>1.6271531458103047E-2</v>
      </c>
      <c r="L36">
        <f t="shared" si="13"/>
        <v>-3.5214588630466892E-2</v>
      </c>
      <c r="M36">
        <f t="shared" si="14"/>
        <v>3.5214588630466892E-2</v>
      </c>
      <c r="N36">
        <f t="shared" si="15"/>
        <v>1.9153145810304681E-4</v>
      </c>
      <c r="O36">
        <f t="shared" si="16"/>
        <v>1.9153145810304681E-4</v>
      </c>
      <c r="AD36">
        <f t="shared" si="8"/>
        <v>1.6214445641084728E-2</v>
      </c>
    </row>
    <row r="37" spans="1:30" x14ac:dyDescent="0.2">
      <c r="A37" s="2">
        <v>43753</v>
      </c>
      <c r="B37" s="3">
        <v>1.9397260273972603</v>
      </c>
      <c r="C37">
        <v>0.01</v>
      </c>
      <c r="D37">
        <v>98.896339560439557</v>
      </c>
      <c r="E37">
        <v>1.6120000000000002E-2</v>
      </c>
      <c r="G37" s="2">
        <f t="shared" si="9"/>
        <v>43023</v>
      </c>
      <c r="H37" s="2">
        <f t="shared" si="10"/>
        <v>43205</v>
      </c>
      <c r="I37">
        <f t="shared" si="11"/>
        <v>6.043956043956044E-2</v>
      </c>
      <c r="J37" s="1">
        <f>IFERROR(getBondPrice3($A$1,A37,C37,100,$W$3,$W$4,$W$5,$W$6,$W$7,$W$8,$W$9,$W$10, $W$13,$W$14,$W$15,$W$16), 100000)</f>
        <v>98.857645975783456</v>
      </c>
      <c r="K37" s="1">
        <f t="shared" si="12"/>
        <v>1.6324200464024496E-2</v>
      </c>
      <c r="L37">
        <f t="shared" si="13"/>
        <v>-3.8693584656101621E-2</v>
      </c>
      <c r="M37">
        <f t="shared" si="14"/>
        <v>3.8693584656101621E-2</v>
      </c>
      <c r="N37">
        <f t="shared" si="15"/>
        <v>2.0420046402449404E-4</v>
      </c>
      <c r="O37">
        <f t="shared" si="16"/>
        <v>2.0420046402449404E-4</v>
      </c>
      <c r="AD37">
        <f t="shared" si="8"/>
        <v>1.6267677111545878E-2</v>
      </c>
    </row>
    <row r="38" spans="1:30" x14ac:dyDescent="0.2">
      <c r="A38" s="2">
        <v>43769</v>
      </c>
      <c r="B38" s="3">
        <v>1.9835616438356165</v>
      </c>
      <c r="C38">
        <v>1.2500000000000001E-2</v>
      </c>
      <c r="D38">
        <v>99.309818232044208</v>
      </c>
      <c r="E38">
        <v>1.6160000000000001E-2</v>
      </c>
      <c r="G38" s="2">
        <f t="shared" si="9"/>
        <v>43039</v>
      </c>
      <c r="H38" s="2">
        <f t="shared" si="10"/>
        <v>43220</v>
      </c>
      <c r="I38">
        <f t="shared" si="11"/>
        <v>2.0718232044198894E-2</v>
      </c>
      <c r="J38" s="1">
        <f>IFERROR(getBondPrice3($A$1,A38,C38,100,$W$3,$W$4,$W$5,$W$6,$W$7,$W$8,$W$9,$W$10, $W$13,$W$14,$W$15,$W$16), 100000)</f>
        <v>99.266889909946073</v>
      </c>
      <c r="K38" s="1">
        <f t="shared" si="12"/>
        <v>1.6377822477090534E-2</v>
      </c>
      <c r="L38">
        <f t="shared" si="13"/>
        <v>-4.2928322098134686E-2</v>
      </c>
      <c r="M38">
        <f t="shared" si="14"/>
        <v>4.2928322098134686E-2</v>
      </c>
      <c r="N38">
        <f t="shared" si="15"/>
        <v>2.1782247709053321E-4</v>
      </c>
      <c r="O38">
        <f t="shared" si="16"/>
        <v>2.1782247709053321E-4</v>
      </c>
      <c r="AD38">
        <f t="shared" si="8"/>
        <v>1.632413432118705E-2</v>
      </c>
    </row>
    <row r="39" spans="1:30" x14ac:dyDescent="0.2">
      <c r="A39" s="2">
        <v>43784</v>
      </c>
      <c r="B39" s="3">
        <v>2.0246575342465754</v>
      </c>
      <c r="C39">
        <v>0.01</v>
      </c>
      <c r="D39">
        <v>99.233343478260878</v>
      </c>
      <c r="E39">
        <v>1.626E-2</v>
      </c>
      <c r="G39" s="2">
        <f t="shared" si="9"/>
        <v>42870</v>
      </c>
      <c r="H39" s="2">
        <f t="shared" si="10"/>
        <v>43054</v>
      </c>
      <c r="I39">
        <f t="shared" si="11"/>
        <v>0.47554347826086957</v>
      </c>
      <c r="J39" s="1">
        <f>IFERROR(getBondPrice3($A$1,A39,C39,100,$W$3,$W$4,$W$5,$W$6,$W$7,$W$8,$W$9,$W$10, $W$13,$W$14,$W$15,$W$16), 100000)</f>
        <v>99.199527331171751</v>
      </c>
      <c r="K39" s="1">
        <f t="shared" si="12"/>
        <v>1.643381377386079E-2</v>
      </c>
      <c r="L39">
        <f t="shared" si="13"/>
        <v>-3.3816147089126503E-2</v>
      </c>
      <c r="M39">
        <f t="shared" si="14"/>
        <v>3.3816147089126503E-2</v>
      </c>
      <c r="N39">
        <f t="shared" si="15"/>
        <v>1.7381377386078978E-4</v>
      </c>
      <c r="O39">
        <f t="shared" si="16"/>
        <v>1.7381377386078978E-4</v>
      </c>
      <c r="AD39">
        <f t="shared" si="8"/>
        <v>1.6376877104424391E-2</v>
      </c>
    </row>
    <row r="40" spans="1:30" x14ac:dyDescent="0.2">
      <c r="A40" s="2">
        <v>43799</v>
      </c>
      <c r="B40" s="3">
        <v>2.0657534246575344</v>
      </c>
      <c r="C40">
        <v>0.01</v>
      </c>
      <c r="D40">
        <v>99.161026229508195</v>
      </c>
      <c r="E40">
        <v>1.6289999999999999E-2</v>
      </c>
      <c r="G40" s="2">
        <f t="shared" si="9"/>
        <v>42886</v>
      </c>
      <c r="H40" s="2">
        <f t="shared" si="10"/>
        <v>43069</v>
      </c>
      <c r="I40">
        <f t="shared" si="11"/>
        <v>0.4344262295081967</v>
      </c>
      <c r="J40" s="1">
        <f>IFERROR(getBondPrice3($A$1,A40,C40,100,$W$3,$W$4,$W$5,$W$6,$W$7,$W$8,$W$9,$W$10, $W$13,$W$14,$W$15,$W$16), 100000)</f>
        <v>99.122294797492842</v>
      </c>
      <c r="K40" s="1">
        <f t="shared" si="12"/>
        <v>1.6486141962384657E-2</v>
      </c>
      <c r="L40">
        <f t="shared" si="13"/>
        <v>-3.8731432015353562E-2</v>
      </c>
      <c r="M40">
        <f t="shared" si="14"/>
        <v>3.8731432015353562E-2</v>
      </c>
      <c r="N40">
        <f t="shared" si="15"/>
        <v>1.9614196238465845E-4</v>
      </c>
      <c r="O40">
        <f t="shared" si="16"/>
        <v>1.9614196238465845E-4</v>
      </c>
      <c r="AD40">
        <f t="shared" si="8"/>
        <v>1.6429494324173125E-2</v>
      </c>
    </row>
    <row r="41" spans="1:30" x14ac:dyDescent="0.2">
      <c r="A41" s="2">
        <v>43814</v>
      </c>
      <c r="B41" s="3">
        <v>2.106849315068493</v>
      </c>
      <c r="C41">
        <v>1.375E-2</v>
      </c>
      <c r="D41">
        <v>99.986283606557379</v>
      </c>
      <c r="E41">
        <v>1.644E-2</v>
      </c>
      <c r="G41" s="2">
        <f t="shared" si="9"/>
        <v>42901</v>
      </c>
      <c r="H41" s="2">
        <f t="shared" si="10"/>
        <v>43084</v>
      </c>
      <c r="I41">
        <f t="shared" si="11"/>
        <v>0.54098360655737709</v>
      </c>
      <c r="J41" s="1">
        <f>IFERROR(getBondPrice3($A$1,A41,C41,100,$W$3,$W$4,$W$5,$W$6,$W$7,$W$8,$W$9,$W$10, $W$13,$W$14,$W$15,$W$16), 100000)</f>
        <v>99.966360027599563</v>
      </c>
      <c r="K41" s="1">
        <f t="shared" si="12"/>
        <v>1.6534521926844101E-2</v>
      </c>
      <c r="L41">
        <f t="shared" si="13"/>
        <v>-1.992357895781538E-2</v>
      </c>
      <c r="M41">
        <f t="shared" si="14"/>
        <v>1.992357895781538E-2</v>
      </c>
      <c r="N41">
        <f t="shared" si="15"/>
        <v>9.4521926844101656E-5</v>
      </c>
      <c r="O41">
        <f t="shared" si="16"/>
        <v>9.4521926844101656E-5</v>
      </c>
      <c r="AD41">
        <f t="shared" si="8"/>
        <v>1.6481992693595481E-2</v>
      </c>
    </row>
    <row r="42" spans="1:30" x14ac:dyDescent="0.2">
      <c r="A42" s="2">
        <v>43830</v>
      </c>
      <c r="B42" s="3">
        <v>2.1506849315068495</v>
      </c>
      <c r="C42">
        <v>1.125E-2</v>
      </c>
      <c r="D42">
        <v>99.308461413043489</v>
      </c>
      <c r="E42">
        <v>1.6410000000000001E-2</v>
      </c>
      <c r="G42" s="2">
        <f t="shared" si="9"/>
        <v>42916</v>
      </c>
      <c r="H42" s="2">
        <f t="shared" si="10"/>
        <v>43100</v>
      </c>
      <c r="I42">
        <f t="shared" si="11"/>
        <v>0.39436141304347827</v>
      </c>
      <c r="J42" s="1">
        <f>IFERROR(getBondPrice3($A$1,A42,C42,100,$W$3,$W$4,$W$5,$W$6,$W$7,$W$8,$W$9,$W$10, $W$13,$W$14,$W$15,$W$16), 100000)</f>
        <v>99.268657145983482</v>
      </c>
      <c r="K42" s="1">
        <f t="shared" si="12"/>
        <v>1.6600534475439604E-2</v>
      </c>
      <c r="L42">
        <f t="shared" si="13"/>
        <v>-3.9804267060006282E-2</v>
      </c>
      <c r="M42">
        <f t="shared" si="14"/>
        <v>3.9804267060006282E-2</v>
      </c>
      <c r="N42">
        <f t="shared" si="15"/>
        <v>1.905344754396035E-4</v>
      </c>
      <c r="O42">
        <f t="shared" si="16"/>
        <v>1.905344754396035E-4</v>
      </c>
      <c r="AD42">
        <f t="shared" si="8"/>
        <v>1.6537866209741962E-2</v>
      </c>
    </row>
    <row r="43" spans="1:30" x14ac:dyDescent="0.2">
      <c r="A43" s="2">
        <v>43845</v>
      </c>
      <c r="B43" s="3">
        <v>2.1917808219178081</v>
      </c>
      <c r="C43">
        <v>1.375E-2</v>
      </c>
      <c r="D43">
        <v>99.824351086956511</v>
      </c>
      <c r="E43">
        <v>1.6559999999999998E-2</v>
      </c>
      <c r="G43" s="2">
        <f t="shared" si="9"/>
        <v>42931</v>
      </c>
      <c r="H43" s="2">
        <f t="shared" si="10"/>
        <v>43115</v>
      </c>
      <c r="I43">
        <f t="shared" si="11"/>
        <v>0.42595108695652173</v>
      </c>
      <c r="J43" s="1">
        <f>IFERROR(getBondPrice3($A$1,A43,C43,100,$W$3,$W$4,$W$5,$W$6,$W$7,$W$8,$W$9,$W$10, $W$13,$W$14,$W$15,$W$16), 100000)</f>
        <v>99.803712416676845</v>
      </c>
      <c r="K43" s="1">
        <f t="shared" si="12"/>
        <v>1.6651784192815582E-2</v>
      </c>
      <c r="L43">
        <f t="shared" si="13"/>
        <v>-2.0638670279666371E-2</v>
      </c>
      <c r="M43">
        <f t="shared" si="14"/>
        <v>2.0638670279666371E-2</v>
      </c>
      <c r="N43">
        <f t="shared" si="15"/>
        <v>9.1784192815583948E-5</v>
      </c>
      <c r="O43">
        <f t="shared" si="16"/>
        <v>9.1784192815583948E-5</v>
      </c>
      <c r="AD43">
        <f t="shared" si="8"/>
        <v>1.6590136547063157E-2</v>
      </c>
    </row>
    <row r="44" spans="1:30" x14ac:dyDescent="0.2">
      <c r="A44" s="2">
        <v>43861</v>
      </c>
      <c r="B44" s="3">
        <v>2.2356164383561645</v>
      </c>
      <c r="C44">
        <v>1.2500000000000001E-2</v>
      </c>
      <c r="D44">
        <v>99.450080434782606</v>
      </c>
      <c r="E44">
        <v>1.6539999999999999E-2</v>
      </c>
      <c r="G44" s="2">
        <f t="shared" si="9"/>
        <v>42947</v>
      </c>
      <c r="H44" s="2">
        <f t="shared" si="10"/>
        <v>43131</v>
      </c>
      <c r="I44">
        <f t="shared" si="11"/>
        <v>0.3328804347826087</v>
      </c>
      <c r="J44" s="1">
        <f>IFERROR(getBondPrice3($A$1,A44,C44,100,$W$3,$W$4,$W$5,$W$6,$W$7,$W$8,$W$9,$W$10, $W$13,$W$14,$W$15,$W$16), 100000)</f>
        <v>99.412570991472464</v>
      </c>
      <c r="K44" s="1">
        <f t="shared" si="12"/>
        <v>1.6711721267631808E-2</v>
      </c>
      <c r="L44">
        <f t="shared" si="13"/>
        <v>-3.7509443310142387E-2</v>
      </c>
      <c r="M44">
        <f t="shared" si="14"/>
        <v>3.7509443310142387E-2</v>
      </c>
      <c r="N44">
        <f t="shared" si="15"/>
        <v>1.7172126763180875E-4</v>
      </c>
      <c r="O44">
        <f t="shared" si="16"/>
        <v>1.7172126763180875E-4</v>
      </c>
      <c r="AD44">
        <f t="shared" si="8"/>
        <v>1.6645779474744798E-2</v>
      </c>
    </row>
    <row r="45" spans="1:30" x14ac:dyDescent="0.2">
      <c r="A45" s="2">
        <v>43876</v>
      </c>
      <c r="B45" s="3">
        <v>2.2767123287671232</v>
      </c>
      <c r="C45">
        <v>1.375E-2</v>
      </c>
      <c r="D45">
        <v>99.669522282608696</v>
      </c>
      <c r="E45">
        <v>1.6629999999999999E-2</v>
      </c>
      <c r="G45" s="2">
        <f t="shared" si="9"/>
        <v>42962</v>
      </c>
      <c r="H45" s="2">
        <f t="shared" si="10"/>
        <v>43146</v>
      </c>
      <c r="I45">
        <f t="shared" si="11"/>
        <v>0.31012228260869568</v>
      </c>
      <c r="J45" s="1">
        <f>IFERROR(getBondPrice3($A$1,A45,C45,100,$W$3,$W$4,$W$5,$W$6,$W$7,$W$8,$W$9,$W$10, $W$13,$W$14,$W$15,$W$16), 100000)</f>
        <v>99.639454777070227</v>
      </c>
      <c r="K45" s="1">
        <f t="shared" si="12"/>
        <v>1.6764410729341893E-2</v>
      </c>
      <c r="L45">
        <f t="shared" si="13"/>
        <v>-3.0067505538468708E-2</v>
      </c>
      <c r="M45">
        <f t="shared" si="14"/>
        <v>3.0067505538468708E-2</v>
      </c>
      <c r="N45">
        <f t="shared" si="15"/>
        <v>1.3441072934189391E-4</v>
      </c>
      <c r="O45">
        <f t="shared" si="16"/>
        <v>1.3441072934189391E-4</v>
      </c>
      <c r="AD45">
        <f t="shared" si="8"/>
        <v>1.669784549079557E-2</v>
      </c>
    </row>
    <row r="46" spans="1:30" x14ac:dyDescent="0.2">
      <c r="A46" s="2">
        <v>43890</v>
      </c>
      <c r="B46" s="3">
        <v>2.3150684931506849</v>
      </c>
      <c r="C46">
        <v>1.2500000000000001E-2</v>
      </c>
      <c r="D46">
        <v>99.293853591160214</v>
      </c>
      <c r="E46">
        <v>1.6639999999999999E-2</v>
      </c>
      <c r="G46" s="2">
        <f t="shared" si="9"/>
        <v>42978</v>
      </c>
      <c r="H46" s="2">
        <f t="shared" si="10"/>
        <v>43159</v>
      </c>
      <c r="I46">
        <f t="shared" si="11"/>
        <v>0.231353591160221</v>
      </c>
      <c r="J46" s="1">
        <f>IFERROR(getBondPrice3($A$1,A46,C46,100,$W$3,$W$4,$W$5,$W$6,$W$7,$W$8,$W$9,$W$10, $W$13,$W$14,$W$15,$W$16), 100000)</f>
        <v>99.258578725117133</v>
      </c>
      <c r="K46" s="1">
        <f t="shared" si="12"/>
        <v>1.6799368884571585E-2</v>
      </c>
      <c r="L46">
        <f t="shared" si="13"/>
        <v>-3.5274866043081943E-2</v>
      </c>
      <c r="M46">
        <f t="shared" si="14"/>
        <v>3.5274866043081943E-2</v>
      </c>
      <c r="N46">
        <f t="shared" si="15"/>
        <v>1.5936888457158613E-4</v>
      </c>
      <c r="O46">
        <f t="shared" si="16"/>
        <v>1.5936888457158613E-4</v>
      </c>
      <c r="AD46">
        <f t="shared" si="8"/>
        <v>1.6746358809396206E-2</v>
      </c>
    </row>
    <row r="47" spans="1:30" x14ac:dyDescent="0.2">
      <c r="A47" s="2">
        <v>43905</v>
      </c>
      <c r="B47" s="3">
        <v>2.3561643835616439</v>
      </c>
      <c r="C47">
        <v>1.6250000000000001E-2</v>
      </c>
      <c r="D47">
        <v>100.10062541436464</v>
      </c>
      <c r="E47">
        <v>1.6819999999999998E-2</v>
      </c>
      <c r="G47" s="2">
        <f t="shared" si="9"/>
        <v>42993</v>
      </c>
      <c r="H47" s="2">
        <f t="shared" si="10"/>
        <v>43174</v>
      </c>
      <c r="I47">
        <f t="shared" si="11"/>
        <v>0.23342541436464087</v>
      </c>
      <c r="J47" s="1">
        <f>IFERROR(getBondPrice3($A$1,A47,C47,100,$W$3,$W$4,$W$5,$W$6,$W$7,$W$8,$W$9,$W$10, $W$13,$W$14,$W$15,$W$16), 100000)</f>
        <v>100.09617691445511</v>
      </c>
      <c r="K47" s="1">
        <f t="shared" si="12"/>
        <v>1.6843515191376234E-2</v>
      </c>
      <c r="L47">
        <f t="shared" si="13"/>
        <v>-4.4484999095288913E-3</v>
      </c>
      <c r="M47">
        <f t="shared" si="14"/>
        <v>4.4484999095288913E-3</v>
      </c>
      <c r="N47">
        <f t="shared" si="15"/>
        <v>2.3515191376236033E-5</v>
      </c>
      <c r="O47">
        <f t="shared" si="16"/>
        <v>2.3515191376236033E-5</v>
      </c>
      <c r="AD47">
        <f t="shared" si="8"/>
        <v>1.6798255151774386E-2</v>
      </c>
    </row>
    <row r="48" spans="1:30" x14ac:dyDescent="0.2">
      <c r="A48" s="2">
        <v>43921</v>
      </c>
      <c r="B48" s="3">
        <v>2.4</v>
      </c>
      <c r="C48">
        <v>1.125E-2</v>
      </c>
      <c r="D48">
        <v>98.825254395604389</v>
      </c>
      <c r="E48">
        <v>1.6750000000000001E-2</v>
      </c>
      <c r="G48" s="2">
        <f t="shared" si="9"/>
        <v>43008</v>
      </c>
      <c r="H48" s="2">
        <f t="shared" si="10"/>
        <v>43190</v>
      </c>
      <c r="I48">
        <f t="shared" si="11"/>
        <v>0.1143543956043956</v>
      </c>
      <c r="J48" s="1">
        <f>IFERROR(getBondPrice3($A$1,A48,C48,100,$W$3,$W$4,$W$5,$W$6,$W$7,$W$8,$W$9,$W$10, $W$13,$W$14,$W$15,$W$16), 100000)</f>
        <v>98.786978029819409</v>
      </c>
      <c r="K48" s="1">
        <f t="shared" si="12"/>
        <v>1.6919322995138569E-2</v>
      </c>
      <c r="L48">
        <f t="shared" si="13"/>
        <v>-3.8276365784980726E-2</v>
      </c>
      <c r="M48">
        <f t="shared" si="14"/>
        <v>3.8276365784980726E-2</v>
      </c>
      <c r="N48">
        <f t="shared" si="15"/>
        <v>1.693229951385683E-4</v>
      </c>
      <c r="O48">
        <f t="shared" si="16"/>
        <v>1.693229951385683E-4</v>
      </c>
      <c r="AD48">
        <f t="shared" si="8"/>
        <v>1.6853523627213055E-2</v>
      </c>
    </row>
    <row r="49" spans="1:30" x14ac:dyDescent="0.2">
      <c r="A49" s="2">
        <v>43951</v>
      </c>
      <c r="B49" s="3">
        <v>2.4821917808219176</v>
      </c>
      <c r="C49">
        <v>1.125E-2</v>
      </c>
      <c r="D49">
        <v>98.651446408839789</v>
      </c>
      <c r="E49">
        <v>1.6890000000000002E-2</v>
      </c>
      <c r="G49" s="2">
        <f t="shared" si="9"/>
        <v>43039</v>
      </c>
      <c r="H49" s="2">
        <f t="shared" si="10"/>
        <v>43220</v>
      </c>
      <c r="I49">
        <f t="shared" si="11"/>
        <v>1.8646408839779006E-2</v>
      </c>
      <c r="J49" s="1">
        <f>IFERROR(getBondPrice3($A$1,A49,C49,100,$W$3,$W$4,$W$5,$W$6,$W$7,$W$8,$W$9,$W$10, $W$13,$W$14,$W$15,$W$16), 100000)</f>
        <v>98.625348828791289</v>
      </c>
      <c r="K49" s="1">
        <f t="shared" si="12"/>
        <v>1.7003168897245974E-2</v>
      </c>
      <c r="L49">
        <f t="shared" si="13"/>
        <v>-2.6097580048499935E-2</v>
      </c>
      <c r="M49">
        <f t="shared" si="14"/>
        <v>2.6097580048499935E-2</v>
      </c>
      <c r="N49">
        <f t="shared" si="15"/>
        <v>1.1316889724597226E-4</v>
      </c>
      <c r="O49">
        <f t="shared" si="16"/>
        <v>1.1316889724597226E-4</v>
      </c>
      <c r="AD49">
        <f t="shared" si="8"/>
        <v>1.6956931306144372E-2</v>
      </c>
    </row>
    <row r="50" spans="1:30" x14ac:dyDescent="0.2">
      <c r="A50" s="2">
        <v>43966</v>
      </c>
      <c r="B50" s="3">
        <v>2.5232876712328767</v>
      </c>
      <c r="C50">
        <v>1.4999999999999999E-2</v>
      </c>
      <c r="D50">
        <v>100.2289152173913</v>
      </c>
      <c r="E50">
        <v>1.6969999999999999E-2</v>
      </c>
      <c r="G50" s="2">
        <f t="shared" si="9"/>
        <v>42870</v>
      </c>
      <c r="H50" s="2">
        <f t="shared" si="10"/>
        <v>43054</v>
      </c>
      <c r="I50">
        <f t="shared" si="11"/>
        <v>0.71331521739130432</v>
      </c>
      <c r="J50" s="1">
        <f>IFERROR(getBondPrice3($A$1,A50,C50,100,$W$3,$W$4,$W$5,$W$6,$W$7,$W$8,$W$9,$W$10, $W$13,$W$14,$W$15,$W$16), 100000)</f>
        <v>100.20891431695259</v>
      </c>
      <c r="K50" s="1">
        <f t="shared" si="12"/>
        <v>1.7049264556198054E-2</v>
      </c>
      <c r="L50">
        <f t="shared" si="13"/>
        <v>-2.000090043871694E-2</v>
      </c>
      <c r="M50">
        <f t="shared" si="14"/>
        <v>2.000090043871694E-2</v>
      </c>
      <c r="N50">
        <f t="shared" si="15"/>
        <v>7.9264556198055391E-5</v>
      </c>
      <c r="O50">
        <f t="shared" si="16"/>
        <v>7.9264556198055391E-5</v>
      </c>
      <c r="AD50">
        <f t="shared" si="8"/>
        <v>1.7008538476335537E-2</v>
      </c>
    </row>
    <row r="51" spans="1:30" x14ac:dyDescent="0.2">
      <c r="A51" s="2">
        <v>43982</v>
      </c>
      <c r="B51" s="3">
        <v>2.5671232876712327</v>
      </c>
      <c r="C51">
        <v>1.375E-2</v>
      </c>
      <c r="D51">
        <v>99.800436065573777</v>
      </c>
      <c r="E51">
        <v>1.694E-2</v>
      </c>
      <c r="G51" s="2">
        <f t="shared" si="9"/>
        <v>42886</v>
      </c>
      <c r="H51" s="2">
        <f t="shared" si="10"/>
        <v>43069</v>
      </c>
      <c r="I51">
        <f t="shared" si="11"/>
        <v>0.5973360655737705</v>
      </c>
      <c r="J51" s="1">
        <f>IFERROR(getBondPrice3($A$1,A51,C51,100,$W$3,$W$4,$W$5,$W$6,$W$7,$W$8,$W$9,$W$10, $W$13,$W$14,$W$15,$W$16), 100000)</f>
        <v>99.753676338334785</v>
      </c>
      <c r="K51" s="1">
        <f t="shared" si="12"/>
        <v>1.7123866457801434E-2</v>
      </c>
      <c r="L51">
        <f t="shared" si="13"/>
        <v>-4.6759727238992355E-2</v>
      </c>
      <c r="M51">
        <f t="shared" si="14"/>
        <v>4.6759727238992355E-2</v>
      </c>
      <c r="N51">
        <f t="shared" si="15"/>
        <v>1.8386645780143346E-4</v>
      </c>
      <c r="O51">
        <f t="shared" si="16"/>
        <v>1.8386645780143346E-4</v>
      </c>
      <c r="AD51">
        <f t="shared" si="8"/>
        <v>1.7063523385065914E-2</v>
      </c>
    </row>
    <row r="52" spans="1:30" x14ac:dyDescent="0.2">
      <c r="A52" s="2">
        <v>43997</v>
      </c>
      <c r="B52" s="3">
        <v>2.6082191780821917</v>
      </c>
      <c r="C52">
        <v>1.4999999999999999E-2</v>
      </c>
      <c r="D52">
        <v>100.07456393442622</v>
      </c>
      <c r="E52">
        <v>1.703E-2</v>
      </c>
      <c r="G52" s="2">
        <f t="shared" si="9"/>
        <v>42901</v>
      </c>
      <c r="H52" s="2">
        <f t="shared" si="10"/>
        <v>43084</v>
      </c>
      <c r="I52">
        <f t="shared" si="11"/>
        <v>0.5901639344262295</v>
      </c>
      <c r="J52" s="1">
        <f>IFERROR(getBondPrice3($A$1,A52,C52,100,$W$3,$W$4,$W$5,$W$6,$W$7,$W$8,$W$9,$W$10, $W$13,$W$14,$W$15,$W$16), 100000)</f>
        <v>100.03792753741004</v>
      </c>
      <c r="K52" s="1">
        <f t="shared" si="12"/>
        <v>1.7173377062635581E-2</v>
      </c>
      <c r="L52">
        <f t="shared" si="13"/>
        <v>-3.6636397016181377E-2</v>
      </c>
      <c r="M52">
        <f t="shared" si="14"/>
        <v>3.6636397016181377E-2</v>
      </c>
      <c r="N52">
        <f t="shared" si="15"/>
        <v>1.4337706263558084E-4</v>
      </c>
      <c r="O52">
        <f t="shared" si="16"/>
        <v>1.4337706263558084E-4</v>
      </c>
      <c r="AD52">
        <f t="shared" si="8"/>
        <v>1.7115018782713098E-2</v>
      </c>
    </row>
    <row r="53" spans="1:30" x14ac:dyDescent="0.2">
      <c r="A53" s="2">
        <v>44012</v>
      </c>
      <c r="B53" s="3">
        <v>2.6493150684931508</v>
      </c>
      <c r="C53">
        <v>1.6250000000000001E-2</v>
      </c>
      <c r="D53">
        <v>100.3430331521739</v>
      </c>
      <c r="E53">
        <v>1.7129999999999999E-2</v>
      </c>
      <c r="G53" s="2">
        <f t="shared" si="9"/>
        <v>42916</v>
      </c>
      <c r="H53" s="2">
        <f t="shared" si="10"/>
        <v>43100</v>
      </c>
      <c r="I53">
        <f t="shared" si="11"/>
        <v>0.56963315217391308</v>
      </c>
      <c r="J53" s="1">
        <f>IFERROR(getBondPrice3($A$1,A53,C53,100,$W$3,$W$4,$W$5,$W$6,$W$7,$W$8,$W$9,$W$10, $W$13,$W$14,$W$15,$W$16), 100000)</f>
        <v>100.32119205531576</v>
      </c>
      <c r="K53" s="1">
        <f t="shared" si="12"/>
        <v>1.7210445373057232E-2</v>
      </c>
      <c r="L53">
        <f t="shared" si="13"/>
        <v>-2.1841096858139508E-2</v>
      </c>
      <c r="M53">
        <f t="shared" si="14"/>
        <v>2.1841096858139508E-2</v>
      </c>
      <c r="N53">
        <f t="shared" si="15"/>
        <v>8.0445373057232844E-5</v>
      </c>
      <c r="O53">
        <f t="shared" si="16"/>
        <v>8.0445373057232844E-5</v>
      </c>
      <c r="AD53">
        <f t="shared" si="8"/>
        <v>1.7166468609084176E-2</v>
      </c>
    </row>
    <row r="54" spans="1:30" x14ac:dyDescent="0.2">
      <c r="A54" s="2">
        <v>44027</v>
      </c>
      <c r="B54" s="3">
        <v>2.6904109589041094</v>
      </c>
      <c r="C54">
        <v>1.4999999999999999E-2</v>
      </c>
      <c r="D54">
        <v>99.902173913043484</v>
      </c>
      <c r="E54">
        <v>1.7150000000000002E-2</v>
      </c>
      <c r="G54" s="2">
        <f t="shared" si="9"/>
        <v>42931</v>
      </c>
      <c r="H54" s="2">
        <f t="shared" si="10"/>
        <v>43115</v>
      </c>
      <c r="I54">
        <f t="shared" si="11"/>
        <v>0.46467391304347827</v>
      </c>
      <c r="J54" s="1">
        <f>IFERROR(getBondPrice3($A$1,A54,C54,100,$W$3,$W$4,$W$5,$W$6,$W$7,$W$8,$W$9,$W$10, $W$13,$W$14,$W$15,$W$16), 100000)</f>
        <v>99.870759524521361</v>
      </c>
      <c r="K54" s="1">
        <f t="shared" si="12"/>
        <v>1.7265961736838965E-2</v>
      </c>
      <c r="L54">
        <f t="shared" si="13"/>
        <v>-3.1414388522122749E-2</v>
      </c>
      <c r="M54">
        <f t="shared" si="14"/>
        <v>3.1414388522122749E-2</v>
      </c>
      <c r="N54">
        <f t="shared" si="15"/>
        <v>1.159617368389626E-4</v>
      </c>
      <c r="O54">
        <f t="shared" si="16"/>
        <v>1.159617368389626E-4</v>
      </c>
      <c r="AD54">
        <f t="shared" si="8"/>
        <v>1.7217878415622345E-2</v>
      </c>
    </row>
    <row r="55" spans="1:30" x14ac:dyDescent="0.2">
      <c r="A55" s="2">
        <v>44043</v>
      </c>
      <c r="B55" s="3">
        <v>2.7342465753424658</v>
      </c>
      <c r="C55">
        <v>1.6250000000000001E-2</v>
      </c>
      <c r="D55">
        <v>100.17494456521739</v>
      </c>
      <c r="E55">
        <v>1.7219999999999999E-2</v>
      </c>
      <c r="G55" s="2">
        <f t="shared" si="9"/>
        <v>42947</v>
      </c>
      <c r="H55" s="2">
        <f t="shared" si="10"/>
        <v>43131</v>
      </c>
      <c r="I55">
        <f t="shared" si="11"/>
        <v>0.4327445652173913</v>
      </c>
      <c r="J55" s="1">
        <f>IFERROR(getBondPrice3($A$1,A55,C55,100,$W$3,$W$4,$W$5,$W$6,$W$7,$W$8,$W$9,$W$10, $W$13,$W$14,$W$15,$W$16), 100000)</f>
        <v>100.14722989618386</v>
      </c>
      <c r="K55" s="1">
        <f t="shared" si="12"/>
        <v>1.7320583893612136E-2</v>
      </c>
      <c r="L55">
        <f t="shared" si="13"/>
        <v>-2.7714669033528594E-2</v>
      </c>
      <c r="M55">
        <f t="shared" si="14"/>
        <v>2.7714669033528594E-2</v>
      </c>
      <c r="N55">
        <f t="shared" si="15"/>
        <v>1.0058389361213699E-4</v>
      </c>
      <c r="O55">
        <f t="shared" si="16"/>
        <v>1.0058389361213699E-4</v>
      </c>
      <c r="AD55">
        <f t="shared" si="8"/>
        <v>1.7272677686747381E-2</v>
      </c>
    </row>
    <row r="56" spans="1:30" x14ac:dyDescent="0.2">
      <c r="A56" s="2">
        <v>44058</v>
      </c>
      <c r="B56" s="3">
        <v>2.7753424657534245</v>
      </c>
      <c r="C56">
        <v>1.4999999999999999E-2</v>
      </c>
      <c r="D56">
        <v>99.752415217391302</v>
      </c>
      <c r="E56">
        <v>1.7170000000000001E-2</v>
      </c>
      <c r="G56" s="2">
        <f t="shared" si="9"/>
        <v>42962</v>
      </c>
      <c r="H56" s="2">
        <f t="shared" si="10"/>
        <v>43146</v>
      </c>
      <c r="I56">
        <f t="shared" si="11"/>
        <v>0.33831521739130432</v>
      </c>
      <c r="J56" s="1">
        <f>IFERROR(getBondPrice3($A$1,A56,C56,100,$W$3,$W$4,$W$5,$W$6,$W$7,$W$8,$W$9,$W$10, $W$13,$W$14,$W$15,$W$16), 100000)</f>
        <v>99.696595475998379</v>
      </c>
      <c r="K56" s="1">
        <f t="shared" si="12"/>
        <v>1.7376211399922483E-2</v>
      </c>
      <c r="L56">
        <f t="shared" si="13"/>
        <v>-5.5819741392923561E-2</v>
      </c>
      <c r="M56">
        <f t="shared" si="14"/>
        <v>5.5819741392923561E-2</v>
      </c>
      <c r="N56">
        <f t="shared" si="15"/>
        <v>2.0621139992248183E-4</v>
      </c>
      <c r="O56">
        <f t="shared" si="16"/>
        <v>2.0621139992248183E-4</v>
      </c>
      <c r="AD56">
        <f t="shared" si="8"/>
        <v>1.7324022377537544E-2</v>
      </c>
    </row>
    <row r="57" spans="1:30" x14ac:dyDescent="0.2">
      <c r="A57" s="2">
        <v>44074</v>
      </c>
      <c r="B57" s="3">
        <v>2.8191780821917809</v>
      </c>
      <c r="C57">
        <v>1.375E-2</v>
      </c>
      <c r="D57">
        <v>99.285788950276242</v>
      </c>
      <c r="E57">
        <v>1.729E-2</v>
      </c>
      <c r="G57" s="2">
        <f t="shared" si="9"/>
        <v>42978</v>
      </c>
      <c r="H57" s="2">
        <f t="shared" si="10"/>
        <v>43159</v>
      </c>
      <c r="I57">
        <f t="shared" si="11"/>
        <v>0.25448895027624308</v>
      </c>
      <c r="J57" s="1">
        <f>IFERROR(getBondPrice3($A$1,A57,C57,100,$W$3,$W$4,$W$5,$W$6,$W$7,$W$8,$W$9,$W$10, $W$13,$W$14,$W$15,$W$16), 100000)</f>
        <v>99.240743013125282</v>
      </c>
      <c r="K57" s="1">
        <f t="shared" si="12"/>
        <v>1.7453670576859683E-2</v>
      </c>
      <c r="L57">
        <f t="shared" si="13"/>
        <v>-4.5045937150959503E-2</v>
      </c>
      <c r="M57">
        <f t="shared" si="14"/>
        <v>4.5045937150959503E-2</v>
      </c>
      <c r="N57">
        <f t="shared" si="15"/>
        <v>1.6367057685968273E-4</v>
      </c>
      <c r="O57">
        <f t="shared" si="16"/>
        <v>1.6367057685968273E-4</v>
      </c>
      <c r="AD57">
        <f t="shared" si="8"/>
        <v>1.7378764837641107E-2</v>
      </c>
    </row>
    <row r="58" spans="1:30" x14ac:dyDescent="0.2">
      <c r="A58" s="2">
        <v>44089</v>
      </c>
      <c r="B58" s="3">
        <v>2.8602739726027395</v>
      </c>
      <c r="C58">
        <v>1.375E-2</v>
      </c>
      <c r="D58">
        <v>99.236613812154701</v>
      </c>
      <c r="E58">
        <v>1.721E-2</v>
      </c>
      <c r="G58" s="2">
        <f t="shared" si="9"/>
        <v>42993</v>
      </c>
      <c r="H58" s="2">
        <f t="shared" si="10"/>
        <v>43174</v>
      </c>
      <c r="I58">
        <f t="shared" si="11"/>
        <v>0.19751381215469613</v>
      </c>
      <c r="J58" s="1">
        <f>IFERROR(getBondPrice3($A$1,A58,C58,100,$W$3,$W$4,$W$5,$W$6,$W$7,$W$8,$W$9,$W$10, $W$13,$W$14,$W$15,$W$16), 100000)</f>
        <v>99.155823662901511</v>
      </c>
      <c r="K58" s="1">
        <f t="shared" si="12"/>
        <v>1.7502565715922638E-2</v>
      </c>
      <c r="L58">
        <f t="shared" si="13"/>
        <v>-8.0790149253189725E-2</v>
      </c>
      <c r="M58">
        <f t="shared" si="14"/>
        <v>8.0790149253189725E-2</v>
      </c>
      <c r="N58">
        <f t="shared" si="15"/>
        <v>2.9256571592263872E-4</v>
      </c>
      <c r="O58">
        <f t="shared" si="16"/>
        <v>2.9256571592263872E-4</v>
      </c>
      <c r="AD58">
        <f t="shared" si="8"/>
        <v>1.7430068123514015E-2</v>
      </c>
    </row>
    <row r="59" spans="1:30" x14ac:dyDescent="0.2">
      <c r="A59" s="2">
        <v>44104</v>
      </c>
      <c r="B59" s="3">
        <v>2.9013698630136986</v>
      </c>
      <c r="C59">
        <v>1.375E-2</v>
      </c>
      <c r="D59">
        <v>99.108566483516483</v>
      </c>
      <c r="E59">
        <v>1.7410000000000002E-2</v>
      </c>
      <c r="G59" s="2">
        <f t="shared" si="9"/>
        <v>43008</v>
      </c>
      <c r="H59" s="2">
        <f t="shared" si="10"/>
        <v>43190</v>
      </c>
      <c r="I59">
        <f t="shared" si="11"/>
        <v>0.13976648351648352</v>
      </c>
      <c r="J59" s="1">
        <f>IFERROR(getBondPrice3($A$1,A59,C59,100,$W$3,$W$4,$W$5,$W$6,$W$7,$W$8,$W$9,$W$10, $W$13,$W$14,$W$15,$W$16), 100000)</f>
        <v>99.070458435837168</v>
      </c>
      <c r="K59" s="1">
        <f t="shared" si="12"/>
        <v>1.7548416332963446E-2</v>
      </c>
      <c r="L59">
        <f t="shared" si="13"/>
        <v>-3.810804767931586E-2</v>
      </c>
      <c r="M59">
        <f t="shared" si="14"/>
        <v>3.810804767931586E-2</v>
      </c>
      <c r="N59">
        <f t="shared" si="15"/>
        <v>1.3841633296344386E-4</v>
      </c>
      <c r="O59">
        <f t="shared" si="16"/>
        <v>1.3841633296344386E-4</v>
      </c>
      <c r="AD59">
        <f t="shared" si="8"/>
        <v>1.7481359886962453E-2</v>
      </c>
    </row>
    <row r="60" spans="1:30" x14ac:dyDescent="0.2">
      <c r="A60" s="2">
        <v>44119</v>
      </c>
      <c r="B60" s="3">
        <v>2.9424657534246577</v>
      </c>
      <c r="C60">
        <v>1.6250000000000001E-2</v>
      </c>
      <c r="D60">
        <v>99.801314285714298</v>
      </c>
      <c r="E60">
        <v>1.729E-2</v>
      </c>
      <c r="G60" s="2">
        <f t="shared" si="9"/>
        <v>43023</v>
      </c>
      <c r="H60" s="2">
        <f t="shared" si="10"/>
        <v>43205</v>
      </c>
      <c r="I60">
        <f t="shared" si="11"/>
        <v>9.8214285714285712E-2</v>
      </c>
      <c r="J60" s="1">
        <f>IFERROR(getBondPrice3($A$1,A60,C60,100,$W$3,$W$4,$W$5,$W$6,$W$7,$W$8,$W$9,$W$10, $W$13,$W$14,$W$15,$W$16), 100000)</f>
        <v>99.714470231655184</v>
      </c>
      <c r="K60" s="1">
        <f t="shared" si="12"/>
        <v>1.7593904112679987E-2</v>
      </c>
      <c r="L60">
        <f t="shared" si="13"/>
        <v>-8.6844054059113773E-2</v>
      </c>
      <c r="M60">
        <f t="shared" si="14"/>
        <v>8.6844054059113773E-2</v>
      </c>
      <c r="N60">
        <f t="shared" si="15"/>
        <v>3.0390411267998754E-4</v>
      </c>
      <c r="O60">
        <f t="shared" si="16"/>
        <v>3.0390411267998754E-4</v>
      </c>
      <c r="AD60">
        <f t="shared" si="8"/>
        <v>1.753264567942962E-2</v>
      </c>
    </row>
    <row r="61" spans="1:30" x14ac:dyDescent="0.2">
      <c r="A61" s="2">
        <v>44135</v>
      </c>
      <c r="B61" s="3">
        <v>2.9863013698630136</v>
      </c>
      <c r="C61">
        <v>1.375E-2</v>
      </c>
      <c r="D61">
        <v>98.936890055248625</v>
      </c>
      <c r="E61">
        <v>1.7500000000000002E-2</v>
      </c>
      <c r="G61" s="2">
        <f t="shared" si="9"/>
        <v>43039</v>
      </c>
      <c r="H61" s="2">
        <f t="shared" si="10"/>
        <v>43220</v>
      </c>
      <c r="I61">
        <f t="shared" si="11"/>
        <v>2.2790055248618785E-2</v>
      </c>
      <c r="J61" s="1">
        <f>IFERROR(getBondPrice3($A$1,A61,C61,100,$W$3,$W$4,$W$5,$W$6,$W$7,$W$8,$W$9,$W$10, $W$13,$W$14,$W$15,$W$16), 100000)</f>
        <v>98.893237315292851</v>
      </c>
      <c r="K61" s="1">
        <f t="shared" si="12"/>
        <v>1.7653015170264852E-2</v>
      </c>
      <c r="L61">
        <f t="shared" si="13"/>
        <v>-4.3652739955774678E-2</v>
      </c>
      <c r="M61">
        <f t="shared" si="14"/>
        <v>4.3652739955774678E-2</v>
      </c>
      <c r="N61">
        <f t="shared" si="15"/>
        <v>1.5301517026485023E-4</v>
      </c>
      <c r="O61">
        <f t="shared" si="16"/>
        <v>1.5301517026485023E-4</v>
      </c>
      <c r="AD61">
        <f t="shared" si="8"/>
        <v>1.7587350198279835E-2</v>
      </c>
    </row>
    <row r="62" spans="1:30" x14ac:dyDescent="0.2">
      <c r="A62" s="2">
        <v>44150</v>
      </c>
      <c r="B62" s="3">
        <v>3.0273972602739727</v>
      </c>
      <c r="C62">
        <v>2.6249999999999999E-2</v>
      </c>
      <c r="D62">
        <v>103.77960163043478</v>
      </c>
      <c r="E62">
        <v>1.762E-2</v>
      </c>
      <c r="G62" s="2">
        <f t="shared" si="9"/>
        <v>42870</v>
      </c>
      <c r="H62" s="2">
        <f t="shared" si="10"/>
        <v>43054</v>
      </c>
      <c r="I62">
        <f t="shared" si="11"/>
        <v>1.2483016304347827</v>
      </c>
      <c r="J62" s="1">
        <f>IFERROR(getBondPrice3($A$1,A62,C62,100,$W$3,$W$4,$W$5,$W$6,$W$7,$W$8,$W$9,$W$10, $W$13,$W$14,$W$15,$W$16), 100000)</f>
        <v>103.76166967994612</v>
      </c>
      <c r="K62" s="1">
        <f t="shared" si="12"/>
        <v>1.7678132598168115E-2</v>
      </c>
      <c r="L62">
        <f t="shared" si="13"/>
        <v>-1.7931950488659254E-2</v>
      </c>
      <c r="M62">
        <f t="shared" si="14"/>
        <v>1.7931950488659254E-2</v>
      </c>
      <c r="N62">
        <f t="shared" si="15"/>
        <v>5.8132598168114669E-5</v>
      </c>
      <c r="O62">
        <f t="shared" si="16"/>
        <v>5.8132598168114669E-5</v>
      </c>
      <c r="AD62">
        <f t="shared" si="8"/>
        <v>1.7638640520990113E-2</v>
      </c>
    </row>
    <row r="63" spans="1:30" x14ac:dyDescent="0.2">
      <c r="A63" s="2">
        <v>44165</v>
      </c>
      <c r="B63" s="3">
        <v>3.0684931506849313</v>
      </c>
      <c r="C63">
        <v>1.6250000000000001E-2</v>
      </c>
      <c r="D63">
        <v>100.26844262295081</v>
      </c>
      <c r="E63">
        <v>1.772E-2</v>
      </c>
      <c r="G63" s="2">
        <f t="shared" si="9"/>
        <v>42886</v>
      </c>
      <c r="H63" s="2">
        <f t="shared" si="10"/>
        <v>43069</v>
      </c>
      <c r="I63">
        <f t="shared" si="11"/>
        <v>0.70594262295081966</v>
      </c>
      <c r="J63" s="1">
        <f>IFERROR(getBondPrice3($A$1,A63,C63,100,$W$3,$W$4,$W$5,$W$6,$W$7,$W$8,$W$9,$W$10, $W$13,$W$14,$W$15,$W$16), 100000)</f>
        <v>100.26012239750402</v>
      </c>
      <c r="K63" s="1">
        <f t="shared" si="12"/>
        <v>1.7749267363234858E-2</v>
      </c>
      <c r="L63">
        <f t="shared" si="13"/>
        <v>-8.3202254467948933E-3</v>
      </c>
      <c r="M63">
        <f t="shared" si="14"/>
        <v>8.3202254467948933E-3</v>
      </c>
      <c r="N63">
        <f t="shared" si="15"/>
        <v>2.9267363234858346E-5</v>
      </c>
      <c r="O63">
        <f t="shared" si="16"/>
        <v>2.9267363234858346E-5</v>
      </c>
      <c r="AD63">
        <f t="shared" si="8"/>
        <v>1.7689932064859862E-2</v>
      </c>
    </row>
    <row r="64" spans="1:30" x14ac:dyDescent="0.2">
      <c r="A64" s="2">
        <v>44196</v>
      </c>
      <c r="B64" s="3">
        <v>3.1534246575342464</v>
      </c>
      <c r="C64">
        <v>1.7500000000000002E-2</v>
      </c>
      <c r="D64">
        <v>100.50405108695652</v>
      </c>
      <c r="E64">
        <v>1.7860000000000001E-2</v>
      </c>
      <c r="G64" s="2">
        <f t="shared" si="9"/>
        <v>42916</v>
      </c>
      <c r="H64" s="2">
        <f t="shared" si="10"/>
        <v>43100</v>
      </c>
      <c r="I64">
        <f t="shared" si="11"/>
        <v>0.61345108695652184</v>
      </c>
      <c r="J64" s="1">
        <f>IFERROR(getBondPrice3($A$1,A64,C64,100,$W$3,$W$4,$W$5,$W$6,$W$7,$W$8,$W$9,$W$10, $W$13,$W$14,$W$15,$W$16), 100000)</f>
        <v>100.50397754119891</v>
      </c>
      <c r="K64" s="1">
        <f t="shared" si="12"/>
        <v>1.7856335484581213E-2</v>
      </c>
      <c r="L64">
        <f t="shared" si="13"/>
        <v>-7.3545757615534058E-5</v>
      </c>
      <c r="M64">
        <f t="shared" si="14"/>
        <v>7.3545757615534058E-5</v>
      </c>
      <c r="N64">
        <f t="shared" si="15"/>
        <v>-3.6645154187879558E-6</v>
      </c>
      <c r="O64">
        <f t="shared" si="16"/>
        <v>3.6645154187879558E-6</v>
      </c>
      <c r="AD64">
        <f t="shared" si="8"/>
        <v>1.7795899819036263E-2</v>
      </c>
    </row>
    <row r="65" spans="1:30" x14ac:dyDescent="0.2">
      <c r="A65" s="2">
        <v>44227</v>
      </c>
      <c r="B65" s="3">
        <v>3.2383561643835614</v>
      </c>
      <c r="C65">
        <v>1.375E-2</v>
      </c>
      <c r="D65">
        <v>99.038068478260868</v>
      </c>
      <c r="E65">
        <v>1.7989999999999999E-2</v>
      </c>
      <c r="G65" s="2">
        <f t="shared" si="9"/>
        <v>42947</v>
      </c>
      <c r="H65" s="2">
        <f t="shared" si="10"/>
        <v>43131</v>
      </c>
      <c r="I65">
        <f t="shared" si="11"/>
        <v>0.36616847826086957</v>
      </c>
      <c r="J65" s="1">
        <f>IFERROR(getBondPrice3($A$1,A65,C65,100,$W$3,$W$4,$W$5,$W$6,$W$7,$W$8,$W$9,$W$10, $W$13,$W$14,$W$15,$W$16), 100000)</f>
        <v>99.044266804956052</v>
      </c>
      <c r="K65" s="1">
        <f t="shared" si="12"/>
        <v>1.7973734183399176E-2</v>
      </c>
      <c r="L65">
        <f t="shared" si="13"/>
        <v>6.1983266951841642E-3</v>
      </c>
      <c r="M65">
        <f t="shared" si="14"/>
        <v>6.1983266951841642E-3</v>
      </c>
      <c r="N65">
        <f t="shared" si="15"/>
        <v>-1.6265816600823102E-5</v>
      </c>
      <c r="O65">
        <f t="shared" si="16"/>
        <v>1.6265816600823102E-5</v>
      </c>
      <c r="AD65">
        <f t="shared" si="8"/>
        <v>1.79017544836674E-2</v>
      </c>
    </row>
    <row r="66" spans="1:30" x14ac:dyDescent="0.2">
      <c r="A66" s="2">
        <v>44242</v>
      </c>
      <c r="B66" s="3">
        <v>3.2794520547945205</v>
      </c>
      <c r="C66">
        <v>3.6249999999999998E-2</v>
      </c>
      <c r="D66">
        <v>106.65349510869565</v>
      </c>
      <c r="E66">
        <v>1.7819999999999999E-2</v>
      </c>
      <c r="G66" s="2">
        <f t="shared" si="9"/>
        <v>42962</v>
      </c>
      <c r="H66" s="2">
        <f t="shared" si="10"/>
        <v>43146</v>
      </c>
      <c r="I66">
        <f t="shared" si="11"/>
        <v>0.817595108695652</v>
      </c>
      <c r="J66" s="1">
        <f>IFERROR(getBondPrice3($A$1,A66,C66,100,$W$3,$W$4,$W$5,$W$6,$W$7,$W$8,$W$9,$W$10, $W$13,$W$14,$W$15,$W$16), 100000)</f>
        <v>106.60248539404476</v>
      </c>
      <c r="K66" s="1">
        <f t="shared" si="12"/>
        <v>1.7972752212110376E-2</v>
      </c>
      <c r="L66">
        <f t="shared" si="13"/>
        <v>-5.1009714650888327E-2</v>
      </c>
      <c r="M66">
        <f t="shared" si="14"/>
        <v>5.1009714650888327E-2</v>
      </c>
      <c r="N66">
        <f t="shared" si="15"/>
        <v>1.5275221211037693E-4</v>
      </c>
      <c r="O66">
        <f t="shared" si="16"/>
        <v>1.5275221211037693E-4</v>
      </c>
      <c r="AD66">
        <f t="shared" si="8"/>
        <v>1.7952910108260597E-2</v>
      </c>
    </row>
    <row r="67" spans="1:30" x14ac:dyDescent="0.2">
      <c r="A67" s="2">
        <v>44255</v>
      </c>
      <c r="B67" s="3">
        <v>3.3150684931506849</v>
      </c>
      <c r="C67">
        <v>1.125E-2</v>
      </c>
      <c r="D67">
        <v>98.0129182320442</v>
      </c>
      <c r="E67">
        <v>1.8100000000000002E-2</v>
      </c>
      <c r="G67" s="2">
        <f t="shared" ref="G67:G130" si="17">COUPPCD($A$1,A67,2,1)</f>
        <v>42978</v>
      </c>
      <c r="H67" s="2">
        <f t="shared" ref="H67:H130" si="18">COUPNCD($A$1,A67,2,1)</f>
        <v>43159</v>
      </c>
      <c r="I67">
        <f t="shared" ref="I67:I130" si="19">100*C67/2*($A$1-G67)/(H67-G67)</f>
        <v>0.2082182320441989</v>
      </c>
      <c r="J67" s="1">
        <f>IFERROR(getBondPrice3($A$1,A67,C67,100,$W$3,$W$4,$W$5,$W$6,$W$7,$W$8,$W$9,$W$10, $W$13,$W$14,$W$15,$W$16), 100000)</f>
        <v>98.028978552313788</v>
      </c>
      <c r="K67" s="1">
        <f t="shared" ref="K67:K130" si="20">IFERROR(YIELD($A$1,A67,C67,J67-I67,100,2,1),-2)</f>
        <v>1.8050456971707117E-2</v>
      </c>
      <c r="L67">
        <f t="shared" ref="L67:L130" si="21">J67-D67</f>
        <v>1.6060320269588146E-2</v>
      </c>
      <c r="M67">
        <f t="shared" ref="M67:M130" si="22">ABS(L67)</f>
        <v>1.6060320269588146E-2</v>
      </c>
      <c r="N67">
        <f t="shared" ref="N67:N130" si="23">K67-E67</f>
        <v>-4.9543028292884511E-5</v>
      </c>
      <c r="O67">
        <f t="shared" ref="O67:O130" si="24">ABS(N67)</f>
        <v>4.9543028292884511E-5</v>
      </c>
      <c r="AD67">
        <f t="shared" si="8"/>
        <v>1.799720141276729E-2</v>
      </c>
    </row>
    <row r="68" spans="1:30" x14ac:dyDescent="0.2">
      <c r="A68" s="2">
        <v>44286</v>
      </c>
      <c r="B68" s="3">
        <v>3.4</v>
      </c>
      <c r="C68">
        <v>1.2500000000000001E-2</v>
      </c>
      <c r="D68">
        <v>98.252060439560438</v>
      </c>
      <c r="E68">
        <v>1.821E-2</v>
      </c>
      <c r="G68" s="2">
        <f t="shared" si="17"/>
        <v>43008</v>
      </c>
      <c r="H68" s="2">
        <f t="shared" si="18"/>
        <v>43190</v>
      </c>
      <c r="I68">
        <f t="shared" si="19"/>
        <v>0.12706043956043955</v>
      </c>
      <c r="J68" s="1">
        <f>IFERROR(getBondPrice3($A$1,A68,C68,100,$W$3,$W$4,$W$5,$W$6,$W$7,$W$8,$W$9,$W$10, $W$13,$W$14,$W$15,$W$16), 100000)</f>
        <v>98.269268836594392</v>
      </c>
      <c r="K68" s="1">
        <f t="shared" si="20"/>
        <v>1.816055236130084E-2</v>
      </c>
      <c r="L68">
        <f t="shared" si="21"/>
        <v>1.720839703395427E-2</v>
      </c>
      <c r="M68">
        <f t="shared" si="22"/>
        <v>1.720839703395427E-2</v>
      </c>
      <c r="N68">
        <f t="shared" si="23"/>
        <v>-4.9447638699160607E-5</v>
      </c>
      <c r="O68">
        <f t="shared" si="24"/>
        <v>4.9447638699160607E-5</v>
      </c>
      <c r="AD68">
        <f t="shared" ref="AD68:AD131" si="25">spotRate3($A$1,A68,$W$3,$W$4,$W$5,$W$6,$W$7,$W$8,$W$9,$W$10,$W$13,$W$14,$W$15,$W$16)</f>
        <v>1.8102619858342984E-2</v>
      </c>
    </row>
    <row r="69" spans="1:30" x14ac:dyDescent="0.2">
      <c r="A69" s="2">
        <v>44316</v>
      </c>
      <c r="B69" s="3">
        <v>3.4821917808219176</v>
      </c>
      <c r="C69">
        <v>1.375E-2</v>
      </c>
      <c r="D69">
        <v>98.507190055248614</v>
      </c>
      <c r="E69">
        <v>1.8260000000000002E-2</v>
      </c>
      <c r="G69" s="2">
        <f t="shared" si="17"/>
        <v>43039</v>
      </c>
      <c r="H69" s="2">
        <f t="shared" si="18"/>
        <v>43220</v>
      </c>
      <c r="I69">
        <f t="shared" si="19"/>
        <v>2.2790055248618785E-2</v>
      </c>
      <c r="J69" s="1">
        <f>IFERROR(getBondPrice3($A$1,A69,C69,100,$W$3,$W$4,$W$5,$W$6,$W$7,$W$8,$W$9,$W$10, $W$13,$W$14,$W$15,$W$16), 100000)</f>
        <v>98.512732730741007</v>
      </c>
      <c r="K69" s="1">
        <f t="shared" si="20"/>
        <v>1.824361916542476E-2</v>
      </c>
      <c r="L69">
        <f t="shared" si="21"/>
        <v>5.5426754923928456E-3</v>
      </c>
      <c r="M69">
        <f t="shared" si="22"/>
        <v>5.5426754923928456E-3</v>
      </c>
      <c r="N69">
        <f t="shared" si="23"/>
        <v>-1.6380834575242115E-5</v>
      </c>
      <c r="O69">
        <f t="shared" si="24"/>
        <v>1.6380834575242115E-5</v>
      </c>
      <c r="AD69">
        <f t="shared" si="25"/>
        <v>1.820430974656044E-2</v>
      </c>
    </row>
    <row r="70" spans="1:30" x14ac:dyDescent="0.2">
      <c r="A70" s="2">
        <v>44331</v>
      </c>
      <c r="B70" s="3">
        <v>3.5232876712328767</v>
      </c>
      <c r="C70">
        <v>3.125E-2</v>
      </c>
      <c r="D70">
        <v>105.95487336956522</v>
      </c>
      <c r="E70">
        <v>1.8100000000000002E-2</v>
      </c>
      <c r="G70" s="2">
        <f t="shared" si="17"/>
        <v>42870</v>
      </c>
      <c r="H70" s="2">
        <f t="shared" si="18"/>
        <v>43054</v>
      </c>
      <c r="I70">
        <f t="shared" si="19"/>
        <v>1.4860733695652173</v>
      </c>
      <c r="J70" s="1">
        <f>IFERROR(getBondPrice3($A$1,A70,C70,100,$W$3,$W$4,$W$5,$W$6,$W$7,$W$8,$W$9,$W$10, $W$13,$W$14,$W$15,$W$16), 100000)</f>
        <v>105.90434914224876</v>
      </c>
      <c r="K70" s="1">
        <f t="shared" si="20"/>
        <v>1.8248440013088819E-2</v>
      </c>
      <c r="L70">
        <f t="shared" si="21"/>
        <v>-5.0524227316458337E-2</v>
      </c>
      <c r="M70">
        <f t="shared" si="22"/>
        <v>5.0524227316458337E-2</v>
      </c>
      <c r="N70">
        <f t="shared" si="23"/>
        <v>1.4844001308881791E-4</v>
      </c>
      <c r="O70">
        <f t="shared" si="24"/>
        <v>1.4844001308881791E-4</v>
      </c>
      <c r="AD70">
        <f t="shared" si="25"/>
        <v>1.8255010764703442E-2</v>
      </c>
    </row>
    <row r="71" spans="1:30" x14ac:dyDescent="0.2">
      <c r="A71" s="2">
        <v>44347</v>
      </c>
      <c r="B71" s="3">
        <v>3.5671232876712327</v>
      </c>
      <c r="C71">
        <v>1.375E-2</v>
      </c>
      <c r="D71">
        <v>99.003636065573772</v>
      </c>
      <c r="E71">
        <v>1.839E-2</v>
      </c>
      <c r="G71" s="2">
        <f t="shared" si="17"/>
        <v>42886</v>
      </c>
      <c r="H71" s="2">
        <f t="shared" si="18"/>
        <v>43069</v>
      </c>
      <c r="I71">
        <f t="shared" si="19"/>
        <v>0.5973360655737705</v>
      </c>
      <c r="J71" s="1">
        <f>IFERROR(getBondPrice3($A$1,A71,C71,100,$W$3,$W$4,$W$5,$W$6,$W$7,$W$8,$W$9,$W$10, $W$13,$W$14,$W$15,$W$16), 100000)</f>
        <v>99.012416611772423</v>
      </c>
      <c r="K71" s="1">
        <f t="shared" si="20"/>
        <v>1.8361479595945789E-2</v>
      </c>
      <c r="L71">
        <f t="shared" si="21"/>
        <v>8.7805461986505406E-3</v>
      </c>
      <c r="M71">
        <f t="shared" si="22"/>
        <v>8.7805461986505406E-3</v>
      </c>
      <c r="N71">
        <f t="shared" si="23"/>
        <v>-2.8520404054210857E-5</v>
      </c>
      <c r="O71">
        <f t="shared" si="24"/>
        <v>2.8520404054210857E-5</v>
      </c>
      <c r="AD71">
        <f t="shared" si="25"/>
        <v>1.8308972552525525E-2</v>
      </c>
    </row>
    <row r="72" spans="1:30" x14ac:dyDescent="0.2">
      <c r="A72" s="2">
        <v>44377</v>
      </c>
      <c r="B72" s="3">
        <v>3.6493150684931508</v>
      </c>
      <c r="C72">
        <v>1.125E-2</v>
      </c>
      <c r="D72">
        <v>97.839661413043487</v>
      </c>
      <c r="E72">
        <v>1.8520000000000002E-2</v>
      </c>
      <c r="G72" s="2">
        <f t="shared" si="17"/>
        <v>42916</v>
      </c>
      <c r="H72" s="2">
        <f t="shared" si="18"/>
        <v>43100</v>
      </c>
      <c r="I72">
        <f t="shared" si="19"/>
        <v>0.39436141304347827</v>
      </c>
      <c r="J72" s="1">
        <f>IFERROR(getBondPrice3($A$1,A72,C72,100,$W$3,$W$4,$W$5,$W$6,$W$7,$W$8,$W$9,$W$10, $W$13,$W$14,$W$15,$W$16), 100000)</f>
        <v>97.860565044170912</v>
      </c>
      <c r="K72" s="1">
        <f t="shared" si="20"/>
        <v>1.8459873296772584E-2</v>
      </c>
      <c r="L72">
        <f t="shared" si="21"/>
        <v>2.090363112742466E-2</v>
      </c>
      <c r="M72">
        <f t="shared" si="22"/>
        <v>2.090363112742466E-2</v>
      </c>
      <c r="N72">
        <f t="shared" si="23"/>
        <v>-6.0126703227417894E-5</v>
      </c>
      <c r="O72">
        <f t="shared" si="24"/>
        <v>6.0126703227417894E-5</v>
      </c>
      <c r="AD72">
        <f t="shared" si="25"/>
        <v>1.8409781316590938E-2</v>
      </c>
    </row>
    <row r="73" spans="1:30" x14ac:dyDescent="0.2">
      <c r="A73" s="2">
        <v>44408</v>
      </c>
      <c r="B73" s="3">
        <v>3.7342465753424658</v>
      </c>
      <c r="C73">
        <v>1.125E-2</v>
      </c>
      <c r="D73">
        <v>97.643392391304346</v>
      </c>
      <c r="E73">
        <v>1.865E-2</v>
      </c>
      <c r="G73" s="2">
        <f t="shared" si="17"/>
        <v>42947</v>
      </c>
      <c r="H73" s="2">
        <f t="shared" si="18"/>
        <v>43131</v>
      </c>
      <c r="I73">
        <f t="shared" si="19"/>
        <v>0.29959239130434784</v>
      </c>
      <c r="J73" s="1">
        <f>IFERROR(getBondPrice3($A$1,A73,C73,100,$W$3,$W$4,$W$5,$W$6,$W$7,$W$8,$W$9,$W$10, $W$13,$W$14,$W$15,$W$16), 100000)</f>
        <v>97.671486424828913</v>
      </c>
      <c r="K73" s="1">
        <f t="shared" si="20"/>
        <v>1.856648523742567E-2</v>
      </c>
      <c r="L73">
        <f t="shared" si="21"/>
        <v>2.8094033524567408E-2</v>
      </c>
      <c r="M73">
        <f t="shared" si="22"/>
        <v>2.8094033524567408E-2</v>
      </c>
      <c r="N73">
        <f t="shared" si="23"/>
        <v>-8.3514762574329882E-5</v>
      </c>
      <c r="O73">
        <f t="shared" si="24"/>
        <v>8.3514762574329882E-5</v>
      </c>
      <c r="AD73">
        <f t="shared" si="25"/>
        <v>1.8513378772252398E-2</v>
      </c>
    </row>
    <row r="74" spans="1:30" x14ac:dyDescent="0.2">
      <c r="A74" s="2">
        <v>44423</v>
      </c>
      <c r="B74" s="3">
        <v>3.7753424657534245</v>
      </c>
      <c r="C74">
        <v>2.1250000000000002E-2</v>
      </c>
      <c r="D74">
        <v>101.42457989130435</v>
      </c>
      <c r="E74">
        <v>1.864E-2</v>
      </c>
      <c r="G74" s="2">
        <f t="shared" si="17"/>
        <v>42962</v>
      </c>
      <c r="H74" s="2">
        <f t="shared" si="18"/>
        <v>43146</v>
      </c>
      <c r="I74">
        <f t="shared" si="19"/>
        <v>0.47927989130434784</v>
      </c>
      <c r="J74" s="1">
        <f>IFERROR(getBondPrice3($A$1,A74,C74,100,$W$3,$W$4,$W$5,$W$6,$W$7,$W$8,$W$9,$W$10, $W$13,$W$14,$W$15,$W$16), 100000)</f>
        <v>101.44437827000418</v>
      </c>
      <c r="K74" s="1">
        <f t="shared" si="20"/>
        <v>1.8587128144461406E-2</v>
      </c>
      <c r="L74">
        <f t="shared" si="21"/>
        <v>1.9798378699832142E-2</v>
      </c>
      <c r="M74">
        <f t="shared" si="22"/>
        <v>1.9798378699832142E-2</v>
      </c>
      <c r="N74">
        <f t="shared" si="23"/>
        <v>-5.2871855538594303E-5</v>
      </c>
      <c r="O74">
        <f t="shared" si="24"/>
        <v>5.2871855538594303E-5</v>
      </c>
      <c r="AD74">
        <f t="shared" si="25"/>
        <v>1.8563274537781799E-2</v>
      </c>
    </row>
    <row r="75" spans="1:30" x14ac:dyDescent="0.2">
      <c r="A75" s="2">
        <v>44439</v>
      </c>
      <c r="B75" s="3">
        <v>3.8191780821917809</v>
      </c>
      <c r="C75">
        <v>1.125E-2</v>
      </c>
      <c r="D75">
        <v>97.4504182320442</v>
      </c>
      <c r="E75">
        <v>1.8769999999999998E-2</v>
      </c>
      <c r="G75" s="2">
        <f t="shared" si="17"/>
        <v>42978</v>
      </c>
      <c r="H75" s="2">
        <f t="shared" si="18"/>
        <v>43159</v>
      </c>
      <c r="I75">
        <f t="shared" si="19"/>
        <v>0.2082182320441989</v>
      </c>
      <c r="J75" s="1">
        <f>IFERROR(getBondPrice3($A$1,A75,C75,100,$W$3,$W$4,$W$5,$W$6,$W$7,$W$8,$W$9,$W$10, $W$13,$W$14,$W$15,$W$16), 100000)</f>
        <v>97.481545125183601</v>
      </c>
      <c r="K75" s="1">
        <f t="shared" si="20"/>
        <v>1.8686851204163694E-2</v>
      </c>
      <c r="L75">
        <f t="shared" si="21"/>
        <v>3.1126893139401091E-2</v>
      </c>
      <c r="M75">
        <f t="shared" si="22"/>
        <v>3.1126893139401091E-2</v>
      </c>
      <c r="N75">
        <f t="shared" si="23"/>
        <v>-8.3148795836304745E-5</v>
      </c>
      <c r="O75">
        <f t="shared" si="24"/>
        <v>8.3148795836304745E-5</v>
      </c>
      <c r="AD75">
        <f t="shared" si="25"/>
        <v>1.8616316129856248E-2</v>
      </c>
    </row>
    <row r="76" spans="1:30" x14ac:dyDescent="0.2">
      <c r="A76" s="2">
        <v>44469</v>
      </c>
      <c r="B76" s="3">
        <v>3.9013698630136986</v>
      </c>
      <c r="C76">
        <v>1.125E-2</v>
      </c>
      <c r="D76">
        <v>97.270654395604396</v>
      </c>
      <c r="E76">
        <v>1.8849999999999999E-2</v>
      </c>
      <c r="G76" s="2">
        <f t="shared" si="17"/>
        <v>43008</v>
      </c>
      <c r="H76" s="2">
        <f t="shared" si="18"/>
        <v>43190</v>
      </c>
      <c r="I76">
        <f t="shared" si="19"/>
        <v>0.1143543956043956</v>
      </c>
      <c r="J76" s="1">
        <f>IFERROR(getBondPrice3($A$1,A76,C76,100,$W$3,$W$4,$W$5,$W$6,$W$7,$W$8,$W$9,$W$10, $W$13,$W$14,$W$15,$W$16), 100000)</f>
        <v>97.296294226512671</v>
      </c>
      <c r="K76" s="1">
        <f t="shared" si="20"/>
        <v>1.877942045480924E-2</v>
      </c>
      <c r="L76">
        <f t="shared" si="21"/>
        <v>2.5639830908275485E-2</v>
      </c>
      <c r="M76">
        <f t="shared" si="22"/>
        <v>2.5639830908275485E-2</v>
      </c>
      <c r="N76">
        <f t="shared" si="23"/>
        <v>-7.0579545190758292E-5</v>
      </c>
      <c r="O76">
        <f t="shared" si="24"/>
        <v>7.0579545190758292E-5</v>
      </c>
      <c r="AD76">
        <f t="shared" si="25"/>
        <v>1.8715229086805094E-2</v>
      </c>
    </row>
    <row r="77" spans="1:30" x14ac:dyDescent="0.2">
      <c r="A77" s="2">
        <v>44500</v>
      </c>
      <c r="B77" s="3">
        <v>3.9863013698630136</v>
      </c>
      <c r="C77">
        <v>1.2500000000000001E-2</v>
      </c>
      <c r="D77">
        <v>97.5754182320442</v>
      </c>
      <c r="E77">
        <v>1.89E-2</v>
      </c>
      <c r="G77" s="2">
        <f t="shared" si="17"/>
        <v>43039</v>
      </c>
      <c r="H77" s="2">
        <f t="shared" si="18"/>
        <v>43220</v>
      </c>
      <c r="I77">
        <f t="shared" si="19"/>
        <v>2.0718232044198894E-2</v>
      </c>
      <c r="J77" s="1">
        <f>IFERROR(getBondPrice3($A$1,A77,C77,100,$W$3,$W$4,$W$5,$W$6,$W$7,$W$8,$W$9,$W$10, $W$13,$W$14,$W$15,$W$16), 100000)</f>
        <v>97.585261313234881</v>
      </c>
      <c r="K77" s="1">
        <f t="shared" si="20"/>
        <v>1.8875251920189018E-2</v>
      </c>
      <c r="L77">
        <f t="shared" si="21"/>
        <v>9.8430811906808913E-3</v>
      </c>
      <c r="M77">
        <f t="shared" si="22"/>
        <v>9.8430811906808913E-3</v>
      </c>
      <c r="N77">
        <f t="shared" si="23"/>
        <v>-2.474807981098226E-5</v>
      </c>
      <c r="O77">
        <f t="shared" si="24"/>
        <v>2.474807981098226E-5</v>
      </c>
      <c r="AD77">
        <f t="shared" si="25"/>
        <v>1.8816633989453563E-2</v>
      </c>
    </row>
    <row r="78" spans="1:30" x14ac:dyDescent="0.2">
      <c r="A78" s="2">
        <v>44515</v>
      </c>
      <c r="B78" s="3">
        <v>4.0273972602739727</v>
      </c>
      <c r="C78">
        <v>0.02</v>
      </c>
      <c r="D78">
        <v>101.41198695652173</v>
      </c>
      <c r="E78">
        <v>1.881E-2</v>
      </c>
      <c r="G78" s="2">
        <f t="shared" si="17"/>
        <v>42870</v>
      </c>
      <c r="H78" s="2">
        <f t="shared" si="18"/>
        <v>43054</v>
      </c>
      <c r="I78">
        <f t="shared" si="19"/>
        <v>0.95108695652173914</v>
      </c>
      <c r="J78" s="1">
        <f>IFERROR(getBondPrice3($A$1,A78,C78,100,$W$3,$W$4,$W$5,$W$6,$W$7,$W$8,$W$9,$W$10, $W$13,$W$14,$W$15,$W$16), 100000)</f>
        <v>101.37598916114463</v>
      </c>
      <c r="K78" s="1">
        <f t="shared" si="20"/>
        <v>1.8897996138242914E-2</v>
      </c>
      <c r="L78">
        <f t="shared" si="21"/>
        <v>-3.5997795377099351E-2</v>
      </c>
      <c r="M78">
        <f t="shared" si="22"/>
        <v>3.5997795377099351E-2</v>
      </c>
      <c r="N78">
        <f t="shared" si="23"/>
        <v>8.7996138242913552E-5</v>
      </c>
      <c r="O78">
        <f t="shared" si="24"/>
        <v>8.7996138242913552E-5</v>
      </c>
      <c r="AD78">
        <f t="shared" si="25"/>
        <v>1.8865384096549059E-2</v>
      </c>
    </row>
    <row r="79" spans="1:30" x14ac:dyDescent="0.2">
      <c r="A79" s="2">
        <v>44530</v>
      </c>
      <c r="B79" s="3">
        <v>4.0684931506849313</v>
      </c>
      <c r="C79">
        <v>1.7500000000000002E-2</v>
      </c>
      <c r="D79">
        <v>100.15864590163935</v>
      </c>
      <c r="E79">
        <v>1.9039999999999998E-2</v>
      </c>
      <c r="G79" s="2">
        <f t="shared" si="17"/>
        <v>42886</v>
      </c>
      <c r="H79" s="2">
        <f t="shared" si="18"/>
        <v>43069</v>
      </c>
      <c r="I79">
        <f t="shared" si="19"/>
        <v>0.76024590163934447</v>
      </c>
      <c r="J79" s="1">
        <f>IFERROR(getBondPrice3($A$1,A79,C79,100,$W$3,$W$4,$W$5,$W$6,$W$7,$W$8,$W$9,$W$10, $W$13,$W$14,$W$15,$W$16), 100000)</f>
        <v>100.19338101159866</v>
      </c>
      <c r="K79" s="1">
        <f t="shared" si="20"/>
        <v>1.8954101441307377E-2</v>
      </c>
      <c r="L79">
        <f t="shared" si="21"/>
        <v>3.4735109959314059E-2</v>
      </c>
      <c r="M79">
        <f t="shared" si="22"/>
        <v>3.4735109959314059E-2</v>
      </c>
      <c r="N79">
        <f t="shared" si="23"/>
        <v>-8.5898558692620863E-5</v>
      </c>
      <c r="O79">
        <f t="shared" si="24"/>
        <v>8.5898558692620863E-5</v>
      </c>
      <c r="AD79">
        <f t="shared" si="25"/>
        <v>1.8913921477327459E-2</v>
      </c>
    </row>
    <row r="80" spans="1:30" x14ac:dyDescent="0.2">
      <c r="A80" s="2">
        <v>44561</v>
      </c>
      <c r="B80" s="3">
        <v>4.1534246575342468</v>
      </c>
      <c r="C80">
        <v>0.02</v>
      </c>
      <c r="D80">
        <v>101.02918695652174</v>
      </c>
      <c r="E80">
        <v>1.917E-2</v>
      </c>
      <c r="G80" s="2">
        <f t="shared" si="17"/>
        <v>42916</v>
      </c>
      <c r="H80" s="2">
        <f t="shared" si="18"/>
        <v>43100</v>
      </c>
      <c r="I80">
        <f t="shared" si="19"/>
        <v>0.70108695652173914</v>
      </c>
      <c r="J80" s="1">
        <f>IFERROR(getBondPrice3($A$1,A80,C80,100,$W$3,$W$4,$W$5,$W$6,$W$7,$W$8,$W$9,$W$10, $W$13,$W$14,$W$15,$W$16), 100000)</f>
        <v>101.07855334163058</v>
      </c>
      <c r="K80" s="1">
        <f t="shared" si="20"/>
        <v>1.9047076777551963E-2</v>
      </c>
      <c r="L80">
        <f t="shared" si="21"/>
        <v>4.936638510883995E-2</v>
      </c>
      <c r="M80">
        <f t="shared" si="22"/>
        <v>4.936638510883995E-2</v>
      </c>
      <c r="N80">
        <f t="shared" si="23"/>
        <v>-1.2292322244803616E-4</v>
      </c>
      <c r="O80">
        <f t="shared" si="24"/>
        <v>1.2292322244803616E-4</v>
      </c>
      <c r="AD80">
        <f t="shared" si="25"/>
        <v>1.9013560107528908E-2</v>
      </c>
    </row>
    <row r="81" spans="1:30" x14ac:dyDescent="0.2">
      <c r="A81" s="2">
        <v>44592</v>
      </c>
      <c r="B81" s="3">
        <v>4.2383561643835614</v>
      </c>
      <c r="C81">
        <v>1.4999999999999999E-2</v>
      </c>
      <c r="D81">
        <v>98.672856521739121</v>
      </c>
      <c r="E81">
        <v>1.9259999999999999E-2</v>
      </c>
      <c r="G81" s="2">
        <f t="shared" si="17"/>
        <v>42947</v>
      </c>
      <c r="H81" s="2">
        <f t="shared" si="18"/>
        <v>43131</v>
      </c>
      <c r="I81">
        <f t="shared" si="19"/>
        <v>0.39945652173913043</v>
      </c>
      <c r="J81" s="1">
        <f>IFERROR(getBondPrice3($A$1,A81,C81,100,$W$3,$W$4,$W$5,$W$6,$W$7,$W$8,$W$9,$W$10, $W$13,$W$14,$W$15,$W$16), 100000)</f>
        <v>98.712281669506382</v>
      </c>
      <c r="K81" s="1">
        <f t="shared" si="20"/>
        <v>1.9165832209294714E-2</v>
      </c>
      <c r="L81">
        <f t="shared" si="21"/>
        <v>3.9425147767261137E-2</v>
      </c>
      <c r="M81">
        <f t="shared" si="22"/>
        <v>3.9425147767261137E-2</v>
      </c>
      <c r="N81">
        <f t="shared" si="23"/>
        <v>-9.4167790705285137E-5</v>
      </c>
      <c r="O81">
        <f t="shared" si="24"/>
        <v>9.4167790705285137E-5</v>
      </c>
      <c r="AD81">
        <f t="shared" si="25"/>
        <v>1.9112297033346895E-2</v>
      </c>
    </row>
    <row r="82" spans="1:30" x14ac:dyDescent="0.2">
      <c r="A82" s="2">
        <v>44607</v>
      </c>
      <c r="B82" s="3">
        <v>4.279452054794521</v>
      </c>
      <c r="C82">
        <v>0.02</v>
      </c>
      <c r="D82">
        <v>100.79488695652174</v>
      </c>
      <c r="E82">
        <v>1.916E-2</v>
      </c>
      <c r="G82" s="2">
        <f t="shared" si="17"/>
        <v>42962</v>
      </c>
      <c r="H82" s="2">
        <f t="shared" si="18"/>
        <v>43146</v>
      </c>
      <c r="I82">
        <f t="shared" si="19"/>
        <v>0.45108695652173914</v>
      </c>
      <c r="J82" s="1">
        <f>IFERROR(getBondPrice3($A$1,A82,C82,100,$W$3,$W$4,$W$5,$W$6,$W$7,$W$8,$W$9,$W$10, $W$13,$W$14,$W$15,$W$16), 100000)</f>
        <v>100.77870544960331</v>
      </c>
      <c r="K82" s="1">
        <f t="shared" si="20"/>
        <v>1.919510565842724E-2</v>
      </c>
      <c r="L82">
        <f t="shared" si="21"/>
        <v>-1.6181506918428568E-2</v>
      </c>
      <c r="M82">
        <f t="shared" si="22"/>
        <v>1.6181506918428568E-2</v>
      </c>
      <c r="N82">
        <f t="shared" si="23"/>
        <v>3.5105658427240366E-5</v>
      </c>
      <c r="O82">
        <f t="shared" si="24"/>
        <v>3.5105658427240366E-5</v>
      </c>
      <c r="AD82">
        <f t="shared" si="25"/>
        <v>1.9159750679928735E-2</v>
      </c>
    </row>
    <row r="83" spans="1:30" x14ac:dyDescent="0.2">
      <c r="A83" s="2">
        <v>44620</v>
      </c>
      <c r="B83" s="3">
        <v>4.3150684931506849</v>
      </c>
      <c r="C83">
        <v>1.7500000000000002E-2</v>
      </c>
      <c r="D83">
        <v>99.550495027624308</v>
      </c>
      <c r="E83">
        <v>1.9379999999999998E-2</v>
      </c>
      <c r="G83" s="2">
        <f t="shared" si="17"/>
        <v>42978</v>
      </c>
      <c r="H83" s="2">
        <f t="shared" si="18"/>
        <v>43159</v>
      </c>
      <c r="I83">
        <f t="shared" si="19"/>
        <v>0.32389502762430944</v>
      </c>
      <c r="J83" s="1">
        <f>IFERROR(getBondPrice3($A$1,A83,C83,100,$W$3,$W$4,$W$5,$W$6,$W$7,$W$8,$W$9,$W$10, $W$13,$W$14,$W$15,$W$16), 100000)</f>
        <v>99.612363735413297</v>
      </c>
      <c r="K83" s="1">
        <f t="shared" si="20"/>
        <v>1.9223882396725601E-2</v>
      </c>
      <c r="L83">
        <f t="shared" si="21"/>
        <v>6.1868707788988786E-2</v>
      </c>
      <c r="M83">
        <f t="shared" si="22"/>
        <v>6.1868707788988786E-2</v>
      </c>
      <c r="N83">
        <f t="shared" si="23"/>
        <v>-1.5611760327439647E-4</v>
      </c>
      <c r="O83">
        <f t="shared" si="24"/>
        <v>1.5611760327439647E-4</v>
      </c>
      <c r="AD83">
        <f t="shared" si="25"/>
        <v>1.9200707733515596E-2</v>
      </c>
    </row>
    <row r="84" spans="1:30" x14ac:dyDescent="0.2">
      <c r="A84" s="2">
        <v>44651</v>
      </c>
      <c r="B84" s="3">
        <v>4.4000000000000004</v>
      </c>
      <c r="C84">
        <v>1.7500000000000002E-2</v>
      </c>
      <c r="D84">
        <v>99.334184615384615</v>
      </c>
      <c r="E84">
        <v>1.951E-2</v>
      </c>
      <c r="G84" s="2">
        <f t="shared" si="17"/>
        <v>43008</v>
      </c>
      <c r="H84" s="2">
        <f t="shared" si="18"/>
        <v>43190</v>
      </c>
      <c r="I84">
        <f t="shared" si="19"/>
        <v>0.17788461538461542</v>
      </c>
      <c r="J84" s="1">
        <f>IFERROR(getBondPrice3($A$1,A84,C84,100,$W$3,$W$4,$W$5,$W$6,$W$7,$W$8,$W$9,$W$10, $W$13,$W$14,$W$15,$W$16), 100000)</f>
        <v>99.410651049058728</v>
      </c>
      <c r="K84" s="1">
        <f t="shared" si="20"/>
        <v>1.9326342921186117E-2</v>
      </c>
      <c r="L84">
        <f t="shared" si="21"/>
        <v>7.6466433674113432E-2</v>
      </c>
      <c r="M84">
        <f t="shared" si="22"/>
        <v>7.6466433674113432E-2</v>
      </c>
      <c r="N84">
        <f t="shared" si="23"/>
        <v>-1.8365707881388277E-4</v>
      </c>
      <c r="O84">
        <f t="shared" si="24"/>
        <v>1.8365707881388277E-4</v>
      </c>
      <c r="AD84">
        <f t="shared" si="25"/>
        <v>1.9297741780966157E-2</v>
      </c>
    </row>
    <row r="85" spans="1:30" x14ac:dyDescent="0.2">
      <c r="A85" s="2">
        <v>44681</v>
      </c>
      <c r="B85" s="3">
        <v>4.4821917808219176</v>
      </c>
      <c r="C85">
        <v>1.7500000000000002E-2</v>
      </c>
      <c r="D85">
        <v>99.130605524861878</v>
      </c>
      <c r="E85">
        <v>1.9599999999999999E-2</v>
      </c>
      <c r="G85" s="2">
        <f t="shared" si="17"/>
        <v>43039</v>
      </c>
      <c r="H85" s="2">
        <f t="shared" si="18"/>
        <v>43220</v>
      </c>
      <c r="I85">
        <f t="shared" si="19"/>
        <v>2.9005524861878459E-2</v>
      </c>
      <c r="J85" s="1">
        <f>IFERROR(getBondPrice3($A$1,A85,C85,100,$W$3,$W$4,$W$5,$W$6,$W$7,$W$8,$W$9,$W$10, $W$13,$W$14,$W$15,$W$16), 100000)</f>
        <v>99.214238118064387</v>
      </c>
      <c r="K85" s="1">
        <f t="shared" si="20"/>
        <v>1.9405971288038632E-2</v>
      </c>
      <c r="L85">
        <f t="shared" si="21"/>
        <v>8.3632593202509042E-2</v>
      </c>
      <c r="M85">
        <f t="shared" si="22"/>
        <v>8.3632593202509042E-2</v>
      </c>
      <c r="N85">
        <f t="shared" si="23"/>
        <v>-1.940287119613672E-4</v>
      </c>
      <c r="O85">
        <f t="shared" si="24"/>
        <v>1.940287119613672E-4</v>
      </c>
      <c r="AD85">
        <f t="shared" si="25"/>
        <v>1.9390800381948018E-2</v>
      </c>
    </row>
    <row r="86" spans="1:30" x14ac:dyDescent="0.2">
      <c r="A86" s="2">
        <v>44696</v>
      </c>
      <c r="B86" s="3">
        <v>4.5232876712328771</v>
      </c>
      <c r="C86">
        <v>1.7500000000000002E-2</v>
      </c>
      <c r="D86">
        <v>99.988501086956518</v>
      </c>
      <c r="E86">
        <v>1.9459999999999998E-2</v>
      </c>
      <c r="G86" s="2">
        <f t="shared" si="17"/>
        <v>42870</v>
      </c>
      <c r="H86" s="2">
        <f t="shared" si="18"/>
        <v>43054</v>
      </c>
      <c r="I86">
        <f t="shared" si="19"/>
        <v>0.83220108695652184</v>
      </c>
      <c r="J86" s="1">
        <f>IFERROR(getBondPrice3($A$1,A86,C86,100,$W$3,$W$4,$W$5,$W$6,$W$7,$W$8,$W$9,$W$10, $W$13,$W$14,$W$15,$W$16), 100000)</f>
        <v>99.990660532722941</v>
      </c>
      <c r="K86" s="1">
        <f t="shared" si="20"/>
        <v>1.9451595329519046E-2</v>
      </c>
      <c r="L86">
        <f t="shared" si="21"/>
        <v>2.1594457664235733E-3</v>
      </c>
      <c r="M86">
        <f t="shared" si="22"/>
        <v>2.1594457664235733E-3</v>
      </c>
      <c r="N86">
        <f t="shared" si="23"/>
        <v>-8.4046704809520589E-6</v>
      </c>
      <c r="O86">
        <f t="shared" si="24"/>
        <v>8.4046704809520589E-6</v>
      </c>
      <c r="AD86">
        <f t="shared" si="25"/>
        <v>1.9437019263964704E-2</v>
      </c>
    </row>
    <row r="87" spans="1:30" x14ac:dyDescent="0.2">
      <c r="A87" s="2">
        <v>44712</v>
      </c>
      <c r="B87" s="3">
        <v>4.5671232876712331</v>
      </c>
      <c r="C87">
        <v>1.7500000000000002E-2</v>
      </c>
      <c r="D87">
        <v>99.822745901639351</v>
      </c>
      <c r="E87">
        <v>1.966E-2</v>
      </c>
      <c r="G87" s="2">
        <f t="shared" si="17"/>
        <v>42886</v>
      </c>
      <c r="H87" s="2">
        <f t="shared" si="18"/>
        <v>43069</v>
      </c>
      <c r="I87">
        <f t="shared" si="19"/>
        <v>0.76024590163934447</v>
      </c>
      <c r="J87" s="1">
        <f>IFERROR(getBondPrice3($A$1,A87,C87,100,$W$3,$W$4,$W$5,$W$6,$W$7,$W$8,$W$9,$W$10, $W$13,$W$14,$W$15,$W$16), 100000)</f>
        <v>99.885346614833594</v>
      </c>
      <c r="K87" s="1">
        <f t="shared" si="20"/>
        <v>1.9511126371493093E-2</v>
      </c>
      <c r="L87">
        <f t="shared" si="21"/>
        <v>6.2600713194242985E-2</v>
      </c>
      <c r="M87">
        <f t="shared" si="22"/>
        <v>6.2600713194242985E-2</v>
      </c>
      <c r="N87">
        <f t="shared" si="23"/>
        <v>-1.48873628506907E-4</v>
      </c>
      <c r="O87">
        <f t="shared" si="24"/>
        <v>1.48873628506907E-4</v>
      </c>
      <c r="AD87">
        <f t="shared" si="25"/>
        <v>1.9486092117635249E-2</v>
      </c>
    </row>
    <row r="88" spans="1:30" x14ac:dyDescent="0.2">
      <c r="A88" s="2">
        <v>44742</v>
      </c>
      <c r="B88" s="3">
        <v>4.6493150684931503</v>
      </c>
      <c r="C88">
        <v>1.7500000000000002E-2</v>
      </c>
      <c r="D88">
        <v>99.605651086956513</v>
      </c>
      <c r="E88">
        <v>1.9779999999999999E-2</v>
      </c>
      <c r="G88" s="2">
        <f t="shared" si="17"/>
        <v>42916</v>
      </c>
      <c r="H88" s="2">
        <f t="shared" si="18"/>
        <v>43100</v>
      </c>
      <c r="I88">
        <f t="shared" si="19"/>
        <v>0.61345108695652184</v>
      </c>
      <c r="J88" s="1">
        <f>IFERROR(getBondPrice3($A$1,A88,C88,100,$W$3,$W$4,$W$5,$W$6,$W$7,$W$8,$W$9,$W$10, $W$13,$W$14,$W$15,$W$16), 100000)</f>
        <v>99.686577332605424</v>
      </c>
      <c r="K88" s="1">
        <f t="shared" si="20"/>
        <v>1.9593411745472081E-2</v>
      </c>
      <c r="L88">
        <f t="shared" si="21"/>
        <v>8.0926245648910822E-2</v>
      </c>
      <c r="M88">
        <f t="shared" si="22"/>
        <v>8.0926245648910822E-2</v>
      </c>
      <c r="N88">
        <f t="shared" si="23"/>
        <v>-1.8658825452791752E-4</v>
      </c>
      <c r="O88">
        <f t="shared" si="24"/>
        <v>1.8658825452791752E-4</v>
      </c>
      <c r="AD88">
        <f t="shared" si="25"/>
        <v>1.957747360859588E-2</v>
      </c>
    </row>
    <row r="89" spans="1:30" x14ac:dyDescent="0.2">
      <c r="A89" s="2">
        <v>44773</v>
      </c>
      <c r="B89" s="3">
        <v>4.7342465753424658</v>
      </c>
      <c r="C89">
        <v>1.8749999999999999E-2</v>
      </c>
      <c r="D89">
        <v>99.983720652173901</v>
      </c>
      <c r="E89">
        <v>1.9890000000000001E-2</v>
      </c>
      <c r="G89" s="2">
        <f t="shared" si="17"/>
        <v>42947</v>
      </c>
      <c r="H89" s="2">
        <f t="shared" si="18"/>
        <v>43131</v>
      </c>
      <c r="I89">
        <f t="shared" si="19"/>
        <v>0.49932065217391303</v>
      </c>
      <c r="J89" s="1">
        <f>IFERROR(getBondPrice3($A$1,A89,C89,100,$W$3,$W$4,$W$5,$W$6,$W$7,$W$8,$W$9,$W$10, $W$13,$W$14,$W$15,$W$16), 100000)</f>
        <v>100.0785473718342</v>
      </c>
      <c r="K89" s="1">
        <f t="shared" si="20"/>
        <v>1.9682765667992447E-2</v>
      </c>
      <c r="L89">
        <f t="shared" si="21"/>
        <v>9.4826719660304093E-2</v>
      </c>
      <c r="M89">
        <f t="shared" si="22"/>
        <v>9.4826719660304093E-2</v>
      </c>
      <c r="N89">
        <f t="shared" si="23"/>
        <v>-2.0723433200755398E-4</v>
      </c>
      <c r="O89">
        <f t="shared" si="24"/>
        <v>2.0723433200755398E-4</v>
      </c>
      <c r="AD89">
        <f t="shared" si="25"/>
        <v>1.9671041628669221E-2</v>
      </c>
    </row>
    <row r="90" spans="1:30" x14ac:dyDescent="0.2">
      <c r="A90" s="2">
        <v>44788</v>
      </c>
      <c r="B90" s="3">
        <v>4.7753424657534245</v>
      </c>
      <c r="C90">
        <v>1.6250000000000001E-2</v>
      </c>
      <c r="D90">
        <v>98.804008152173907</v>
      </c>
      <c r="E90">
        <v>1.9689999999999999E-2</v>
      </c>
      <c r="G90" s="2">
        <f t="shared" si="17"/>
        <v>42962</v>
      </c>
      <c r="H90" s="2">
        <f t="shared" si="18"/>
        <v>43146</v>
      </c>
      <c r="I90">
        <f t="shared" si="19"/>
        <v>0.36650815217391303</v>
      </c>
      <c r="J90" s="1">
        <f>IFERROR(getBondPrice3($A$1,A90,C90,100,$W$3,$W$4,$W$5,$W$6,$W$7,$W$8,$W$9,$W$10, $W$13,$W$14,$W$15,$W$16), 100000)</f>
        <v>98.782900229319196</v>
      </c>
      <c r="K90" s="1">
        <f t="shared" si="20"/>
        <v>1.9739740120313438E-2</v>
      </c>
      <c r="L90">
        <f t="shared" si="21"/>
        <v>-2.1107922854710637E-2</v>
      </c>
      <c r="M90">
        <f t="shared" si="22"/>
        <v>2.1107922854710637E-2</v>
      </c>
      <c r="N90">
        <f t="shared" si="23"/>
        <v>4.9740120313439273E-5</v>
      </c>
      <c r="O90">
        <f t="shared" si="24"/>
        <v>4.9740120313439273E-5</v>
      </c>
      <c r="AD90">
        <f t="shared" si="25"/>
        <v>1.9716004258809195E-2</v>
      </c>
    </row>
    <row r="91" spans="1:30" x14ac:dyDescent="0.2">
      <c r="A91" s="2">
        <v>44804</v>
      </c>
      <c r="B91" s="3">
        <v>4.8191780821917805</v>
      </c>
      <c r="C91">
        <v>1.6250000000000001E-2</v>
      </c>
      <c r="D91">
        <v>98.621059668508295</v>
      </c>
      <c r="E91">
        <v>1.992E-2</v>
      </c>
      <c r="G91" s="2">
        <f t="shared" si="17"/>
        <v>42978</v>
      </c>
      <c r="H91" s="2">
        <f t="shared" si="18"/>
        <v>43159</v>
      </c>
      <c r="I91">
        <f t="shared" si="19"/>
        <v>0.30075966850828728</v>
      </c>
      <c r="J91" s="1">
        <f>IFERROR(getBondPrice3($A$1,A91,C91,100,$W$3,$W$4,$W$5,$W$6,$W$7,$W$8,$W$9,$W$10, $W$13,$W$14,$W$15,$W$16), 100000)</f>
        <v>98.677101581368603</v>
      </c>
      <c r="K91" s="1">
        <f t="shared" si="20"/>
        <v>1.9800049316899583E-2</v>
      </c>
      <c r="L91">
        <f t="shared" si="21"/>
        <v>5.6041912860308685E-2</v>
      </c>
      <c r="M91">
        <f t="shared" si="22"/>
        <v>5.6041912860308685E-2</v>
      </c>
      <c r="N91">
        <f t="shared" si="23"/>
        <v>-1.1995068310041712E-4</v>
      </c>
      <c r="O91">
        <f t="shared" si="24"/>
        <v>1.1995068310041712E-4</v>
      </c>
      <c r="AD91">
        <f t="shared" si="25"/>
        <v>1.9763740788727311E-2</v>
      </c>
    </row>
    <row r="92" spans="1:30" x14ac:dyDescent="0.2">
      <c r="A92" s="2">
        <v>44834</v>
      </c>
      <c r="B92" s="3">
        <v>4.9013698630136986</v>
      </c>
      <c r="C92">
        <v>1.7500000000000002E-2</v>
      </c>
      <c r="D92">
        <v>98.966984615384618</v>
      </c>
      <c r="E92">
        <v>2.0110000000000003E-2</v>
      </c>
      <c r="G92" s="2">
        <f t="shared" si="17"/>
        <v>43008</v>
      </c>
      <c r="H92" s="2">
        <f t="shared" si="18"/>
        <v>43190</v>
      </c>
      <c r="I92">
        <f t="shared" si="19"/>
        <v>0.17788461538461542</v>
      </c>
      <c r="J92" s="1">
        <f>IFERROR(getBondPrice3($A$1,A92,C92,100,$W$3,$W$4,$W$5,$W$6,$W$7,$W$8,$W$9,$W$10, $W$13,$W$14,$W$15,$W$16), 100000)</f>
        <v>99.07294905238291</v>
      </c>
      <c r="K92" s="1">
        <f t="shared" si="20"/>
        <v>1.987700009475242E-2</v>
      </c>
      <c r="L92">
        <f t="shared" si="21"/>
        <v>0.10596443699829194</v>
      </c>
      <c r="M92">
        <f t="shared" si="22"/>
        <v>0.10596443699829194</v>
      </c>
      <c r="N92">
        <f t="shared" si="23"/>
        <v>-2.3299990524758285E-4</v>
      </c>
      <c r="O92">
        <f t="shared" si="24"/>
        <v>2.3299990524758285E-4</v>
      </c>
      <c r="AD92">
        <f t="shared" si="25"/>
        <v>1.9852626906491158E-2</v>
      </c>
    </row>
    <row r="93" spans="1:30" x14ac:dyDescent="0.2">
      <c r="A93" s="2">
        <v>44865</v>
      </c>
      <c r="B93" s="3">
        <v>4.9863013698630141</v>
      </c>
      <c r="C93">
        <v>1.8749999999999999E-2</v>
      </c>
      <c r="D93">
        <v>99.382677348066309</v>
      </c>
      <c r="E93">
        <v>2.0119999999999999E-2</v>
      </c>
      <c r="G93" s="2">
        <f t="shared" si="17"/>
        <v>43039</v>
      </c>
      <c r="H93" s="2">
        <f t="shared" si="18"/>
        <v>43220</v>
      </c>
      <c r="I93">
        <f t="shared" si="19"/>
        <v>3.1077348066298343E-2</v>
      </c>
      <c r="J93" s="1">
        <f>IFERROR(getBondPrice3($A$1,A93,C93,100,$W$3,$W$4,$W$5,$W$6,$W$7,$W$8,$W$9,$W$10, $W$13,$W$14,$W$15,$W$16), 100000)</f>
        <v>99.459783950638041</v>
      </c>
      <c r="K93" s="1">
        <f t="shared" si="20"/>
        <v>1.9959737062845598E-2</v>
      </c>
      <c r="L93">
        <f t="shared" si="21"/>
        <v>7.7106602571731742E-2</v>
      </c>
      <c r="M93">
        <f t="shared" si="22"/>
        <v>7.7106602571731742E-2</v>
      </c>
      <c r="N93">
        <f t="shared" si="23"/>
        <v>-1.6026293715440051E-4</v>
      </c>
      <c r="O93">
        <f t="shared" si="24"/>
        <v>1.6026293715440051E-4</v>
      </c>
      <c r="AD93">
        <f t="shared" si="25"/>
        <v>1.9943630397586964E-2</v>
      </c>
    </row>
    <row r="94" spans="1:30" x14ac:dyDescent="0.2">
      <c r="A94" s="2">
        <v>44880</v>
      </c>
      <c r="B94" s="3">
        <v>5.0273972602739727</v>
      </c>
      <c r="C94">
        <v>1.6250000000000001E-2</v>
      </c>
      <c r="D94">
        <v>98.936858152173912</v>
      </c>
      <c r="E94">
        <v>2.0110000000000003E-2</v>
      </c>
      <c r="G94" s="2">
        <f t="shared" si="17"/>
        <v>42870</v>
      </c>
      <c r="H94" s="2">
        <f t="shared" si="18"/>
        <v>43054</v>
      </c>
      <c r="I94">
        <f t="shared" si="19"/>
        <v>0.77275815217391308</v>
      </c>
      <c r="J94" s="1">
        <f>IFERROR(getBondPrice3($A$1,A94,C94,100,$W$3,$W$4,$W$5,$W$6,$W$7,$W$8,$W$9,$W$10, $W$13,$W$14,$W$15,$W$16), 100000)</f>
        <v>98.981411182061706</v>
      </c>
      <c r="K94" s="1">
        <f t="shared" si="20"/>
        <v>2.0014926604136809E-2</v>
      </c>
      <c r="L94">
        <f t="shared" si="21"/>
        <v>4.4553029887794082E-2</v>
      </c>
      <c r="M94">
        <f t="shared" si="22"/>
        <v>4.4553029887794082E-2</v>
      </c>
      <c r="N94">
        <f t="shared" si="23"/>
        <v>-9.5073395863193993E-5</v>
      </c>
      <c r="O94">
        <f t="shared" si="24"/>
        <v>9.5073395863193993E-5</v>
      </c>
      <c r="AD94">
        <f t="shared" si="25"/>
        <v>1.9987357243528289E-2</v>
      </c>
    </row>
    <row r="95" spans="1:30" x14ac:dyDescent="0.2">
      <c r="A95" s="2">
        <v>44895</v>
      </c>
      <c r="B95" s="3">
        <v>5.0684931506849313</v>
      </c>
      <c r="C95">
        <v>0.02</v>
      </c>
      <c r="D95">
        <v>100.76725245901639</v>
      </c>
      <c r="E95">
        <v>2.0209999999999999E-2</v>
      </c>
      <c r="G95" s="2">
        <f t="shared" si="17"/>
        <v>42886</v>
      </c>
      <c r="H95" s="2">
        <f t="shared" si="18"/>
        <v>43069</v>
      </c>
      <c r="I95">
        <f t="shared" si="19"/>
        <v>0.86885245901639341</v>
      </c>
      <c r="J95" s="1">
        <f>IFERROR(getBondPrice3($A$1,A95,C95,100,$W$3,$W$4,$W$5,$W$6,$W$7,$W$8,$W$9,$W$10, $W$13,$W$14,$W$15,$W$16), 100000)</f>
        <v>100.84960950345808</v>
      </c>
      <c r="K95" s="1">
        <f t="shared" si="20"/>
        <v>2.0038951955538828E-2</v>
      </c>
      <c r="L95">
        <f t="shared" si="21"/>
        <v>8.2357044441693006E-2</v>
      </c>
      <c r="M95">
        <f t="shared" si="22"/>
        <v>8.2357044441693006E-2</v>
      </c>
      <c r="N95">
        <f t="shared" si="23"/>
        <v>-1.7104804446117089E-4</v>
      </c>
      <c r="O95">
        <f t="shared" si="24"/>
        <v>1.7104804446117089E-4</v>
      </c>
      <c r="AD95">
        <f t="shared" si="25"/>
        <v>2.0030884543524138E-2</v>
      </c>
    </row>
    <row r="96" spans="1:30" x14ac:dyDescent="0.2">
      <c r="A96" s="2">
        <v>44926</v>
      </c>
      <c r="B96" s="3">
        <v>5.1534246575342468</v>
      </c>
      <c r="C96">
        <v>2.1250000000000002E-2</v>
      </c>
      <c r="D96">
        <v>101.19020489130435</v>
      </c>
      <c r="E96">
        <v>2.0330000000000001E-2</v>
      </c>
      <c r="G96" s="2">
        <f t="shared" si="17"/>
        <v>42916</v>
      </c>
      <c r="H96" s="2">
        <f t="shared" si="18"/>
        <v>43100</v>
      </c>
      <c r="I96">
        <f t="shared" si="19"/>
        <v>0.74490489130434778</v>
      </c>
      <c r="J96" s="1">
        <f>IFERROR(getBondPrice3($A$1,A96,C96,100,$W$3,$W$4,$W$5,$W$6,$W$7,$W$8,$W$9,$W$10, $W$13,$W$14,$W$15,$W$16), 100000)</f>
        <v>101.29247590594974</v>
      </c>
      <c r="K96" s="1">
        <f t="shared" si="20"/>
        <v>2.0122971279067686E-2</v>
      </c>
      <c r="L96">
        <f t="shared" si="21"/>
        <v>0.10227101464539601</v>
      </c>
      <c r="M96">
        <f t="shared" si="22"/>
        <v>0.10227101464539601</v>
      </c>
      <c r="N96">
        <f t="shared" si="23"/>
        <v>-2.0702872093231531E-4</v>
      </c>
      <c r="O96">
        <f t="shared" si="24"/>
        <v>2.0702872093231531E-4</v>
      </c>
      <c r="AD96">
        <f t="shared" si="25"/>
        <v>2.0120210961807095E-2</v>
      </c>
    </row>
    <row r="97" spans="1:30" x14ac:dyDescent="0.2">
      <c r="A97" s="2">
        <v>44957</v>
      </c>
      <c r="B97" s="3">
        <v>5.2383561643835614</v>
      </c>
      <c r="C97">
        <v>1.7500000000000002E-2</v>
      </c>
      <c r="D97">
        <v>98.997332608695658</v>
      </c>
      <c r="E97">
        <v>2.0470000000000002E-2</v>
      </c>
      <c r="G97" s="2">
        <f t="shared" si="17"/>
        <v>42947</v>
      </c>
      <c r="H97" s="2">
        <f t="shared" si="18"/>
        <v>43131</v>
      </c>
      <c r="I97">
        <f t="shared" si="19"/>
        <v>0.46603260869565227</v>
      </c>
      <c r="J97" s="1">
        <f>IFERROR(getBondPrice3($A$1,A97,C97,100,$W$3,$W$4,$W$5,$W$6,$W$7,$W$8,$W$9,$W$10, $W$13,$W$14,$W$15,$W$16), 100000)</f>
        <v>99.114899929133642</v>
      </c>
      <c r="K97" s="1">
        <f t="shared" si="20"/>
        <v>2.0231497533047454E-2</v>
      </c>
      <c r="L97">
        <f t="shared" si="21"/>
        <v>0.11756732043798479</v>
      </c>
      <c r="M97">
        <f t="shared" si="22"/>
        <v>0.11756732043798479</v>
      </c>
      <c r="N97">
        <f t="shared" si="23"/>
        <v>-2.3850246695254762E-4</v>
      </c>
      <c r="O97">
        <f t="shared" si="24"/>
        <v>2.3850246695254762E-4</v>
      </c>
      <c r="AD97">
        <f t="shared" si="25"/>
        <v>2.0208692223793363E-2</v>
      </c>
    </row>
    <row r="98" spans="1:30" x14ac:dyDescent="0.2">
      <c r="A98" s="2">
        <v>44972</v>
      </c>
      <c r="B98" s="3">
        <v>5.279452054794521</v>
      </c>
      <c r="C98">
        <v>0.02</v>
      </c>
      <c r="D98">
        <v>100.20888695652174</v>
      </c>
      <c r="E98">
        <v>2.0480000000000002E-2</v>
      </c>
      <c r="G98" s="2">
        <f t="shared" si="17"/>
        <v>42962</v>
      </c>
      <c r="H98" s="2">
        <f t="shared" si="18"/>
        <v>43146</v>
      </c>
      <c r="I98">
        <f t="shared" si="19"/>
        <v>0.45108695652173914</v>
      </c>
      <c r="J98" s="1">
        <f>IFERROR(getBondPrice3($A$1,A98,C98,100,$W$3,$W$4,$W$5,$W$6,$W$7,$W$8,$W$9,$W$10, $W$13,$W$14,$W$15,$W$16), 100000)</f>
        <v>100.31981551373532</v>
      </c>
      <c r="K98" s="1">
        <f t="shared" si="20"/>
        <v>2.0261168048532455E-2</v>
      </c>
      <c r="L98">
        <f t="shared" si="21"/>
        <v>0.11092855721358319</v>
      </c>
      <c r="M98">
        <f t="shared" si="22"/>
        <v>0.11092855721358319</v>
      </c>
      <c r="N98">
        <f t="shared" si="23"/>
        <v>-2.188319514675463E-4</v>
      </c>
      <c r="O98">
        <f t="shared" si="24"/>
        <v>2.188319514675463E-4</v>
      </c>
      <c r="AD98">
        <f t="shared" si="25"/>
        <v>2.0251203753214105E-2</v>
      </c>
    </row>
    <row r="99" spans="1:30" x14ac:dyDescent="0.2">
      <c r="A99" s="2">
        <v>44985</v>
      </c>
      <c r="B99" s="3">
        <v>5.3150684931506849</v>
      </c>
      <c r="C99">
        <v>1.4999999999999999E-2</v>
      </c>
      <c r="D99">
        <v>97.51202430939226</v>
      </c>
      <c r="E99">
        <v>2.052E-2</v>
      </c>
      <c r="G99" s="2">
        <f t="shared" si="17"/>
        <v>42978</v>
      </c>
      <c r="H99" s="2">
        <f t="shared" si="18"/>
        <v>43159</v>
      </c>
      <c r="I99">
        <f t="shared" si="19"/>
        <v>0.27762430939226518</v>
      </c>
      <c r="J99" s="1">
        <f>IFERROR(getBondPrice3($A$1,A99,C99,100,$W$3,$W$4,$W$5,$W$6,$W$7,$W$8,$W$9,$W$10, $W$13,$W$14,$W$15,$W$16), 100000)</f>
        <v>97.616219064968845</v>
      </c>
      <c r="K99" s="1">
        <f t="shared" si="20"/>
        <v>2.030609126287642E-2</v>
      </c>
      <c r="L99">
        <f t="shared" si="21"/>
        <v>0.10419475557658586</v>
      </c>
      <c r="M99">
        <f t="shared" si="22"/>
        <v>0.10419475557658586</v>
      </c>
      <c r="N99">
        <f t="shared" si="23"/>
        <v>-2.1390873712357969E-4</v>
      </c>
      <c r="O99">
        <f t="shared" si="24"/>
        <v>2.1390873712357969E-4</v>
      </c>
      <c r="AD99">
        <f t="shared" si="25"/>
        <v>2.028788834801382E-2</v>
      </c>
    </row>
    <row r="100" spans="1:30" x14ac:dyDescent="0.2">
      <c r="A100" s="2">
        <v>45016</v>
      </c>
      <c r="B100" s="3">
        <v>5.4</v>
      </c>
      <c r="C100">
        <v>1.4999999999999999E-2</v>
      </c>
      <c r="D100">
        <v>97.293072527472532</v>
      </c>
      <c r="E100">
        <v>2.0619999999999999E-2</v>
      </c>
      <c r="G100" s="2">
        <f t="shared" si="17"/>
        <v>43008</v>
      </c>
      <c r="H100" s="2">
        <f t="shared" si="18"/>
        <v>43190</v>
      </c>
      <c r="I100">
        <f t="shared" si="19"/>
        <v>0.15247252747252749</v>
      </c>
      <c r="J100" s="1">
        <f>IFERROR(getBondPrice3($A$1,A100,C100,100,$W$3,$W$4,$W$5,$W$6,$W$7,$W$8,$W$9,$W$10, $W$13,$W$14,$W$15,$W$16), 100000)</f>
        <v>97.406026270384828</v>
      </c>
      <c r="K100" s="1">
        <f t="shared" si="20"/>
        <v>2.0397469965521865E-2</v>
      </c>
      <c r="L100">
        <f t="shared" si="21"/>
        <v>0.11295374291229621</v>
      </c>
      <c r="M100">
        <f t="shared" si="22"/>
        <v>0.11295374291229621</v>
      </c>
      <c r="N100">
        <f t="shared" si="23"/>
        <v>-2.2253003447813419E-4</v>
      </c>
      <c r="O100">
        <f t="shared" si="24"/>
        <v>2.2253003447813419E-4</v>
      </c>
      <c r="AD100">
        <f t="shared" si="25"/>
        <v>2.0374774355410696E-2</v>
      </c>
    </row>
    <row r="101" spans="1:30" x14ac:dyDescent="0.2">
      <c r="A101" s="2">
        <v>45046</v>
      </c>
      <c r="B101" s="3">
        <v>5.4821917808219176</v>
      </c>
      <c r="C101">
        <v>1.6250000000000001E-2</v>
      </c>
      <c r="D101">
        <v>97.745733701657457</v>
      </c>
      <c r="E101">
        <v>2.0670000000000001E-2</v>
      </c>
      <c r="G101" s="2">
        <f t="shared" si="17"/>
        <v>43039</v>
      </c>
      <c r="H101" s="2">
        <f t="shared" si="18"/>
        <v>43220</v>
      </c>
      <c r="I101">
        <f t="shared" si="19"/>
        <v>2.6933701657458564E-2</v>
      </c>
      <c r="J101" s="1">
        <f>IFERROR(getBondPrice3($A$1,A101,C101,100,$W$3,$W$4,$W$5,$W$6,$W$7,$W$8,$W$9,$W$10, $W$13,$W$14,$W$15,$W$16), 100000)</f>
        <v>97.852561704284156</v>
      </c>
      <c r="K101" s="1">
        <f t="shared" si="20"/>
        <v>2.0461944873237933E-2</v>
      </c>
      <c r="L101">
        <f t="shared" si="21"/>
        <v>0.106828002626699</v>
      </c>
      <c r="M101">
        <f t="shared" si="22"/>
        <v>0.106828002626699</v>
      </c>
      <c r="N101">
        <f t="shared" si="23"/>
        <v>-2.0805512676206825E-4</v>
      </c>
      <c r="O101">
        <f t="shared" si="24"/>
        <v>2.0805512676206825E-4</v>
      </c>
      <c r="AD101">
        <f t="shared" si="25"/>
        <v>2.0458066113780149E-2</v>
      </c>
    </row>
    <row r="102" spans="1:30" x14ac:dyDescent="0.2">
      <c r="A102" s="2">
        <v>45061</v>
      </c>
      <c r="B102" s="3">
        <v>5.5232876712328771</v>
      </c>
      <c r="C102">
        <v>1.7500000000000002E-2</v>
      </c>
      <c r="D102">
        <v>99.144701086956516</v>
      </c>
      <c r="E102">
        <v>2.0750000000000001E-2</v>
      </c>
      <c r="G102" s="2">
        <f t="shared" si="17"/>
        <v>42870</v>
      </c>
      <c r="H102" s="2">
        <f t="shared" si="18"/>
        <v>43054</v>
      </c>
      <c r="I102">
        <f t="shared" si="19"/>
        <v>0.83220108695652184</v>
      </c>
      <c r="J102" s="1">
        <f>IFERROR(getBondPrice3($A$1,A102,C102,100,$W$3,$W$4,$W$5,$W$6,$W$7,$W$8,$W$9,$W$10, $W$13,$W$14,$W$15,$W$16), 100000)</f>
        <v>99.274900555803455</v>
      </c>
      <c r="K102" s="1">
        <f t="shared" si="20"/>
        <v>2.0495524344177358E-2</v>
      </c>
      <c r="L102">
        <f t="shared" si="21"/>
        <v>0.13019946884693923</v>
      </c>
      <c r="M102">
        <f t="shared" si="22"/>
        <v>0.13019946884693923</v>
      </c>
      <c r="N102">
        <f t="shared" si="23"/>
        <v>-2.5447565582264325E-4</v>
      </c>
      <c r="O102">
        <f t="shared" si="24"/>
        <v>2.5447565582264325E-4</v>
      </c>
      <c r="AD102">
        <f t="shared" si="25"/>
        <v>2.0499421433990399E-2</v>
      </c>
    </row>
    <row r="103" spans="1:30" x14ac:dyDescent="0.2">
      <c r="A103" s="2">
        <v>45077</v>
      </c>
      <c r="B103" s="3">
        <v>5.5671232876712331</v>
      </c>
      <c r="C103">
        <v>1.6250000000000001E-2</v>
      </c>
      <c r="D103">
        <v>98.338742622950818</v>
      </c>
      <c r="E103">
        <v>2.078E-2</v>
      </c>
      <c r="G103" s="2">
        <f t="shared" si="17"/>
        <v>42886</v>
      </c>
      <c r="H103" s="2">
        <f t="shared" si="18"/>
        <v>43069</v>
      </c>
      <c r="I103">
        <f t="shared" si="19"/>
        <v>0.70594262295081966</v>
      </c>
      <c r="J103" s="1">
        <f>IFERROR(getBondPrice3($A$1,A103,C103,100,$W$3,$W$4,$W$5,$W$6,$W$7,$W$8,$W$9,$W$10, $W$13,$W$14,$W$15,$W$16), 100000)</f>
        <v>98.452131138970287</v>
      </c>
      <c r="K103" s="1">
        <f t="shared" si="20"/>
        <v>2.0555461197172428E-2</v>
      </c>
      <c r="L103">
        <f t="shared" si="21"/>
        <v>0.11338851601946942</v>
      </c>
      <c r="M103">
        <f t="shared" si="22"/>
        <v>0.11338851601946942</v>
      </c>
      <c r="N103">
        <f t="shared" si="23"/>
        <v>-2.245388028275716E-4</v>
      </c>
      <c r="O103">
        <f t="shared" si="24"/>
        <v>2.245388028275716E-4</v>
      </c>
      <c r="AD103">
        <f t="shared" si="25"/>
        <v>2.0543321081455405E-2</v>
      </c>
    </row>
    <row r="104" spans="1:30" x14ac:dyDescent="0.2">
      <c r="A104" s="2">
        <v>45107</v>
      </c>
      <c r="B104" s="3">
        <v>5.6493150684931503</v>
      </c>
      <c r="C104">
        <v>1.375E-2</v>
      </c>
      <c r="D104">
        <v>96.708597282608707</v>
      </c>
      <c r="E104">
        <v>2.086E-2</v>
      </c>
      <c r="G104" s="2">
        <f t="shared" si="17"/>
        <v>42916</v>
      </c>
      <c r="H104" s="2">
        <f t="shared" si="18"/>
        <v>43100</v>
      </c>
      <c r="I104">
        <f t="shared" si="19"/>
        <v>0.48199728260869568</v>
      </c>
      <c r="J104" s="1">
        <f>IFERROR(getBondPrice3($A$1,A104,C104,100,$W$3,$W$4,$W$5,$W$6,$W$7,$W$8,$W$9,$W$10, $W$13,$W$14,$W$15,$W$16), 100000)</f>
        <v>96.822763651320074</v>
      </c>
      <c r="K104" s="1">
        <f t="shared" si="20"/>
        <v>2.0644130383794305E-2</v>
      </c>
      <c r="L104">
        <f t="shared" si="21"/>
        <v>0.11416636871136632</v>
      </c>
      <c r="M104">
        <f t="shared" si="22"/>
        <v>0.11416636871136632</v>
      </c>
      <c r="N104">
        <f t="shared" si="23"/>
        <v>-2.1586961620569459E-4</v>
      </c>
      <c r="O104">
        <f t="shared" si="24"/>
        <v>2.1586961620569459E-4</v>
      </c>
      <c r="AD104">
        <f t="shared" si="25"/>
        <v>2.0625043412424625E-2</v>
      </c>
    </row>
    <row r="105" spans="1:30" x14ac:dyDescent="0.2">
      <c r="A105" s="2">
        <v>45138</v>
      </c>
      <c r="B105" s="3">
        <v>5.7342465753424658</v>
      </c>
      <c r="C105">
        <v>1.2500000000000001E-2</v>
      </c>
      <c r="D105">
        <v>95.801680434782611</v>
      </c>
      <c r="E105">
        <v>2.0930000000000001E-2</v>
      </c>
      <c r="G105" s="2">
        <f t="shared" si="17"/>
        <v>42947</v>
      </c>
      <c r="H105" s="2">
        <f t="shared" si="18"/>
        <v>43131</v>
      </c>
      <c r="I105">
        <f t="shared" si="19"/>
        <v>0.3328804347826087</v>
      </c>
      <c r="J105" s="1">
        <f>IFERROR(getBondPrice3($A$1,A105,C105,100,$W$3,$W$4,$W$5,$W$6,$W$7,$W$8,$W$9,$W$10, $W$13,$W$14,$W$15,$W$16), 100000)</f>
        <v>95.900877342892954</v>
      </c>
      <c r="K105" s="1">
        <f t="shared" si="20"/>
        <v>2.0736847518728608E-2</v>
      </c>
      <c r="L105">
        <f t="shared" si="21"/>
        <v>9.9196908110343429E-2</v>
      </c>
      <c r="M105">
        <f t="shared" si="22"/>
        <v>9.9196908110343429E-2</v>
      </c>
      <c r="N105">
        <f t="shared" si="23"/>
        <v>-1.9315248127139278E-4</v>
      </c>
      <c r="O105">
        <f t="shared" si="24"/>
        <v>1.9315248127139278E-4</v>
      </c>
      <c r="AD105">
        <f t="shared" si="25"/>
        <v>2.07086859365277E-2</v>
      </c>
    </row>
    <row r="106" spans="1:30" x14ac:dyDescent="0.2">
      <c r="A106" s="2">
        <v>45153</v>
      </c>
      <c r="B106" s="3">
        <v>5.7753424657534245</v>
      </c>
      <c r="C106">
        <v>2.5000000000000001E-2</v>
      </c>
      <c r="D106">
        <v>102.82945869565218</v>
      </c>
      <c r="E106">
        <v>2.0809999999999999E-2</v>
      </c>
      <c r="G106" s="2">
        <f t="shared" si="17"/>
        <v>42962</v>
      </c>
      <c r="H106" s="2">
        <f t="shared" si="18"/>
        <v>43146</v>
      </c>
      <c r="I106">
        <f t="shared" si="19"/>
        <v>0.56385869565217395</v>
      </c>
      <c r="J106" s="1">
        <f>IFERROR(getBondPrice3($A$1,A106,C106,100,$W$3,$W$4,$W$5,$W$6,$W$7,$W$8,$W$9,$W$10, $W$13,$W$14,$W$15,$W$16), 100000)</f>
        <v>102.8903413842785</v>
      </c>
      <c r="K106" s="1">
        <f t="shared" si="20"/>
        <v>2.0701738808783343E-2</v>
      </c>
      <c r="L106">
        <f t="shared" si="21"/>
        <v>6.0882688626321624E-2</v>
      </c>
      <c r="M106">
        <f t="shared" si="22"/>
        <v>6.0882688626321624E-2</v>
      </c>
      <c r="N106">
        <f t="shared" si="23"/>
        <v>-1.0826119121665548E-4</v>
      </c>
      <c r="O106">
        <f t="shared" si="24"/>
        <v>1.0826119121665548E-4</v>
      </c>
      <c r="AD106">
        <f t="shared" si="25"/>
        <v>2.0748866208149211E-2</v>
      </c>
    </row>
    <row r="107" spans="1:30" x14ac:dyDescent="0.2">
      <c r="A107" s="2">
        <v>45169</v>
      </c>
      <c r="B107" s="3">
        <v>5.8191780821917805</v>
      </c>
      <c r="C107">
        <v>1.375E-2</v>
      </c>
      <c r="D107">
        <v>96.309188950276237</v>
      </c>
      <c r="E107">
        <v>2.0990000000000002E-2</v>
      </c>
      <c r="G107" s="2">
        <f t="shared" si="17"/>
        <v>42978</v>
      </c>
      <c r="H107" s="2">
        <f t="shared" si="18"/>
        <v>43159</v>
      </c>
      <c r="I107">
        <f t="shared" si="19"/>
        <v>0.25448895027624308</v>
      </c>
      <c r="J107" s="1">
        <f>IFERROR(getBondPrice3($A$1,A107,C107,100,$W$3,$W$4,$W$5,$W$6,$W$7,$W$8,$W$9,$W$10, $W$13,$W$14,$W$15,$W$16), 100000)</f>
        <v>96.398617939462596</v>
      </c>
      <c r="K107" s="1">
        <f t="shared" si="20"/>
        <v>2.0823458088129968E-2</v>
      </c>
      <c r="L107">
        <f t="shared" si="21"/>
        <v>8.9428989186359331E-2</v>
      </c>
      <c r="M107">
        <f t="shared" si="22"/>
        <v>8.9428989186359331E-2</v>
      </c>
      <c r="N107">
        <f t="shared" si="23"/>
        <v>-1.6654191187003356E-4</v>
      </c>
      <c r="O107">
        <f t="shared" si="24"/>
        <v>1.6654191187003356E-4</v>
      </c>
      <c r="AD107">
        <f t="shared" si="25"/>
        <v>2.0791516148702279E-2</v>
      </c>
    </row>
    <row r="108" spans="1:30" x14ac:dyDescent="0.2">
      <c r="A108" s="2">
        <v>45199</v>
      </c>
      <c r="B108" s="3">
        <v>5.9013698630136986</v>
      </c>
      <c r="C108">
        <v>1.375E-2</v>
      </c>
      <c r="D108">
        <v>96.100666483516477</v>
      </c>
      <c r="E108">
        <v>2.1070000000000002E-2</v>
      </c>
      <c r="G108" s="2">
        <f t="shared" si="17"/>
        <v>43008</v>
      </c>
      <c r="H108" s="2">
        <f t="shared" si="18"/>
        <v>43190</v>
      </c>
      <c r="I108">
        <f t="shared" si="19"/>
        <v>0.13976648351648352</v>
      </c>
      <c r="J108" s="1">
        <f>IFERROR(getBondPrice3($A$1,A108,C108,100,$W$3,$W$4,$W$5,$W$6,$W$7,$W$8,$W$9,$W$10, $W$13,$W$14,$W$15,$W$16), 100000)</f>
        <v>96.192117235537282</v>
      </c>
      <c r="K108" s="1">
        <f t="shared" si="20"/>
        <v>2.0897568191791477E-2</v>
      </c>
      <c r="L108">
        <f t="shared" si="21"/>
        <v>9.1450752020804771E-2</v>
      </c>
      <c r="M108">
        <f t="shared" si="22"/>
        <v>9.1450752020804771E-2</v>
      </c>
      <c r="N108">
        <f t="shared" si="23"/>
        <v>-1.7243180820852508E-4</v>
      </c>
      <c r="O108">
        <f t="shared" si="24"/>
        <v>1.7243180820852508E-4</v>
      </c>
      <c r="AD108">
        <f t="shared" si="25"/>
        <v>2.0870905513050663E-2</v>
      </c>
    </row>
    <row r="109" spans="1:30" x14ac:dyDescent="0.2">
      <c r="A109" s="2">
        <v>45230</v>
      </c>
      <c r="B109" s="3">
        <v>5.9863013698630141</v>
      </c>
      <c r="C109">
        <v>1.6250000000000001E-2</v>
      </c>
      <c r="D109">
        <v>97.339433701657455</v>
      </c>
      <c r="E109">
        <v>2.1049999999999999E-2</v>
      </c>
      <c r="G109" s="2">
        <f t="shared" si="17"/>
        <v>43039</v>
      </c>
      <c r="H109" s="2">
        <f t="shared" si="18"/>
        <v>43220</v>
      </c>
      <c r="I109">
        <f t="shared" si="19"/>
        <v>2.6933701657458564E-2</v>
      </c>
      <c r="J109" s="1">
        <f>IFERROR(getBondPrice3($A$1,A109,C109,100,$W$3,$W$4,$W$5,$W$6,$W$7,$W$8,$W$9,$W$10, $W$13,$W$14,$W$15,$W$16), 100000)</f>
        <v>97.390833139554374</v>
      </c>
      <c r="K109" s="1">
        <f t="shared" si="20"/>
        <v>2.0960488238749391E-2</v>
      </c>
      <c r="L109">
        <f t="shared" si="21"/>
        <v>5.1399437896918698E-2</v>
      </c>
      <c r="M109">
        <f t="shared" si="22"/>
        <v>5.1399437896918698E-2</v>
      </c>
      <c r="N109">
        <f t="shared" si="23"/>
        <v>-8.9511761250608141E-5</v>
      </c>
      <c r="O109">
        <f t="shared" si="24"/>
        <v>8.9511761250608141E-5</v>
      </c>
      <c r="AD109">
        <f t="shared" si="25"/>
        <v>2.0952151328304674E-2</v>
      </c>
    </row>
    <row r="110" spans="1:30" x14ac:dyDescent="0.2">
      <c r="A110" s="2">
        <v>45245</v>
      </c>
      <c r="B110" s="3">
        <v>6.0273972602739727</v>
      </c>
      <c r="C110">
        <v>2.75E-2</v>
      </c>
      <c r="D110">
        <v>104.9483445652174</v>
      </c>
      <c r="E110">
        <v>2.1030000000000004E-2</v>
      </c>
      <c r="G110" s="2">
        <f t="shared" si="17"/>
        <v>42870</v>
      </c>
      <c r="H110" s="2">
        <f t="shared" si="18"/>
        <v>43054</v>
      </c>
      <c r="I110">
        <f t="shared" si="19"/>
        <v>1.3077445652173914</v>
      </c>
      <c r="J110" s="1">
        <f>IFERROR(getBondPrice3($A$1,A110,C110,100,$W$3,$W$4,$W$5,$W$6,$W$7,$W$8,$W$9,$W$10, $W$13,$W$14,$W$15,$W$16), 100000)</f>
        <v>105.00968189647099</v>
      </c>
      <c r="K110" s="1">
        <f t="shared" si="20"/>
        <v>2.0927019497400862E-2</v>
      </c>
      <c r="L110">
        <f t="shared" si="21"/>
        <v>6.1337331253596972E-2</v>
      </c>
      <c r="M110">
        <f t="shared" si="22"/>
        <v>6.1337331253596972E-2</v>
      </c>
      <c r="N110">
        <f t="shared" si="23"/>
        <v>-1.029805025991419E-4</v>
      </c>
      <c r="O110">
        <f t="shared" si="24"/>
        <v>1.029805025991419E-4</v>
      </c>
      <c r="AD110">
        <f t="shared" si="25"/>
        <v>2.0991177019015508E-2</v>
      </c>
    </row>
    <row r="111" spans="1:30" x14ac:dyDescent="0.2">
      <c r="A111" s="2">
        <v>45260</v>
      </c>
      <c r="B111" s="3">
        <v>6.0684931506849313</v>
      </c>
      <c r="C111">
        <v>2.1250000000000002E-2</v>
      </c>
      <c r="D111">
        <v>101.01695573770492</v>
      </c>
      <c r="E111">
        <v>2.1080000000000002E-2</v>
      </c>
      <c r="G111" s="2">
        <f t="shared" si="17"/>
        <v>42886</v>
      </c>
      <c r="H111" s="2">
        <f t="shared" si="18"/>
        <v>43069</v>
      </c>
      <c r="I111">
        <f t="shared" si="19"/>
        <v>0.92315573770491799</v>
      </c>
      <c r="J111" s="1">
        <f>IFERROR(getBondPrice3($A$1,A111,C111,100,$W$3,$W$4,$W$5,$W$6,$W$7,$W$8,$W$9,$W$10, $W$13,$W$14,$W$15,$W$16), 100000)</f>
        <v>101.06197796526584</v>
      </c>
      <c r="K111" s="1">
        <f t="shared" si="20"/>
        <v>2.1003926940022826E-2</v>
      </c>
      <c r="L111">
        <f t="shared" si="21"/>
        <v>4.5022227560920669E-2</v>
      </c>
      <c r="M111">
        <f t="shared" si="22"/>
        <v>4.5022227560920669E-2</v>
      </c>
      <c r="N111">
        <f t="shared" si="23"/>
        <v>-7.6073059977175422E-5</v>
      </c>
      <c r="O111">
        <f t="shared" si="24"/>
        <v>7.6073059977175422E-5</v>
      </c>
      <c r="AD111">
        <f t="shared" si="25"/>
        <v>2.1030016403447382E-2</v>
      </c>
    </row>
    <row r="112" spans="1:30" x14ac:dyDescent="0.2">
      <c r="A112" s="2">
        <v>45291</v>
      </c>
      <c r="B112" s="3">
        <v>6.1534246575342468</v>
      </c>
      <c r="C112">
        <v>2.2499999999999999E-2</v>
      </c>
      <c r="D112">
        <v>101.49962282608695</v>
      </c>
      <c r="E112">
        <v>2.1259999999999998E-2</v>
      </c>
      <c r="G112" s="2">
        <f t="shared" si="17"/>
        <v>42916</v>
      </c>
      <c r="H112" s="2">
        <f t="shared" si="18"/>
        <v>43100</v>
      </c>
      <c r="I112">
        <f t="shared" si="19"/>
        <v>0.78872282608695654</v>
      </c>
      <c r="J112" s="1">
        <f>IFERROR(getBondPrice3($A$1,A112,C112,100,$W$3,$W$4,$W$5,$W$6,$W$7,$W$8,$W$9,$W$10, $W$13,$W$14,$W$15,$W$16), 100000)</f>
        <v>101.60504415612472</v>
      </c>
      <c r="K112" s="1">
        <f t="shared" si="20"/>
        <v>2.1075524416510737E-2</v>
      </c>
      <c r="L112">
        <f t="shared" si="21"/>
        <v>0.1054213300377711</v>
      </c>
      <c r="M112">
        <f t="shared" si="22"/>
        <v>0.1054213300377711</v>
      </c>
      <c r="N112">
        <f t="shared" si="23"/>
        <v>-1.844755834892603E-4</v>
      </c>
      <c r="O112">
        <f t="shared" si="24"/>
        <v>1.844755834892603E-4</v>
      </c>
      <c r="AD112">
        <f t="shared" si="25"/>
        <v>2.110969641793025E-2</v>
      </c>
    </row>
    <row r="113" spans="1:30" x14ac:dyDescent="0.2">
      <c r="A113" s="2">
        <v>45337</v>
      </c>
      <c r="B113" s="3">
        <v>6.279452054794521</v>
      </c>
      <c r="C113">
        <v>2.75E-2</v>
      </c>
      <c r="D113">
        <v>104.1983445652174</v>
      </c>
      <c r="E113">
        <v>2.137E-2</v>
      </c>
      <c r="G113" s="2">
        <f t="shared" si="17"/>
        <v>42962</v>
      </c>
      <c r="H113" s="2">
        <f t="shared" si="18"/>
        <v>43146</v>
      </c>
      <c r="I113">
        <f t="shared" si="19"/>
        <v>0.62024456521739135</v>
      </c>
      <c r="J113" s="1">
        <f>IFERROR(getBondPrice3($A$1,A113,C113,100,$W$3,$W$4,$W$5,$W$6,$W$7,$W$8,$W$9,$W$10, $W$13,$W$14,$W$15,$W$16), 100000)</f>
        <v>104.32619842851149</v>
      </c>
      <c r="K113" s="1">
        <f t="shared" si="20"/>
        <v>2.1158642631510585E-2</v>
      </c>
      <c r="L113">
        <f t="shared" si="21"/>
        <v>0.12785386329409221</v>
      </c>
      <c r="M113">
        <f t="shared" si="22"/>
        <v>0.12785386329409221</v>
      </c>
      <c r="N113">
        <f t="shared" si="23"/>
        <v>-2.1135736848941489E-4</v>
      </c>
      <c r="O113">
        <f t="shared" si="24"/>
        <v>2.1135736848941489E-4</v>
      </c>
      <c r="AD113">
        <f t="shared" si="25"/>
        <v>2.122647940168141E-2</v>
      </c>
    </row>
    <row r="114" spans="1:30" x14ac:dyDescent="0.2">
      <c r="A114" s="2">
        <v>45351</v>
      </c>
      <c r="B114" s="3">
        <v>6.3178082191780822</v>
      </c>
      <c r="C114">
        <v>2.1250000000000002E-2</v>
      </c>
      <c r="D114">
        <v>100.26830110497238</v>
      </c>
      <c r="E114">
        <v>2.146E-2</v>
      </c>
      <c r="G114" s="2">
        <f t="shared" si="17"/>
        <v>42978</v>
      </c>
      <c r="H114" s="2">
        <f t="shared" si="18"/>
        <v>43159</v>
      </c>
      <c r="I114">
        <f t="shared" si="19"/>
        <v>0.39330110497237569</v>
      </c>
      <c r="J114" s="1">
        <f>IFERROR(getBondPrice3($A$1,A114,C114,100,$W$3,$W$4,$W$5,$W$6,$W$7,$W$8,$W$9,$W$10, $W$13,$W$14,$W$15,$W$16), 100000)</f>
        <v>100.40506939039673</v>
      </c>
      <c r="K114" s="1">
        <f t="shared" si="20"/>
        <v>2.1227766136729186E-2</v>
      </c>
      <c r="L114">
        <f t="shared" si="21"/>
        <v>0.1367682854243526</v>
      </c>
      <c r="M114">
        <f t="shared" si="22"/>
        <v>0.1367682854243526</v>
      </c>
      <c r="N114">
        <f t="shared" si="23"/>
        <v>-2.322338632708143E-4</v>
      </c>
      <c r="O114">
        <f t="shared" si="24"/>
        <v>2.322338632708143E-4</v>
      </c>
      <c r="AD114">
        <f t="shared" si="25"/>
        <v>2.1261679784245723E-2</v>
      </c>
    </row>
    <row r="115" spans="1:30" x14ac:dyDescent="0.2">
      <c r="A115" s="2">
        <v>45382</v>
      </c>
      <c r="B115" s="3">
        <v>6.4027397260273968</v>
      </c>
      <c r="C115">
        <v>2.1250000000000002E-2</v>
      </c>
      <c r="D115">
        <v>100.04410274725275</v>
      </c>
      <c r="E115">
        <v>2.154E-2</v>
      </c>
      <c r="G115" s="2">
        <f t="shared" si="17"/>
        <v>43008</v>
      </c>
      <c r="H115" s="2">
        <f t="shared" si="18"/>
        <v>43190</v>
      </c>
      <c r="I115">
        <f t="shared" si="19"/>
        <v>0.21600274725274726</v>
      </c>
      <c r="J115" s="1">
        <f>IFERROR(getBondPrice3($A$1,A115,C115,100,$W$3,$W$4,$W$5,$W$6,$W$7,$W$8,$W$9,$W$10, $W$13,$W$14,$W$15,$W$16), 100000)</f>
        <v>100.18066654794669</v>
      </c>
      <c r="K115" s="1">
        <f t="shared" si="20"/>
        <v>2.1307839979946331E-2</v>
      </c>
      <c r="L115">
        <f t="shared" si="21"/>
        <v>0.13656380069393492</v>
      </c>
      <c r="M115">
        <f t="shared" si="22"/>
        <v>0.13656380069393492</v>
      </c>
      <c r="N115">
        <f t="shared" si="23"/>
        <v>-2.3216002005366915E-4</v>
      </c>
      <c r="O115">
        <f t="shared" si="24"/>
        <v>2.3216002005366915E-4</v>
      </c>
      <c r="AD115">
        <f t="shared" si="25"/>
        <v>2.1339058495554415E-2</v>
      </c>
    </row>
    <row r="116" spans="1:30" x14ac:dyDescent="0.2">
      <c r="A116" s="2">
        <v>45412</v>
      </c>
      <c r="B116" s="3">
        <v>6.484931506849315</v>
      </c>
      <c r="C116">
        <v>0.02</v>
      </c>
      <c r="D116">
        <v>99.080049171270716</v>
      </c>
      <c r="E116">
        <v>2.1579999999999998E-2</v>
      </c>
      <c r="G116" s="2">
        <f t="shared" si="17"/>
        <v>43039</v>
      </c>
      <c r="H116" s="2">
        <f t="shared" si="18"/>
        <v>43220</v>
      </c>
      <c r="I116">
        <f t="shared" si="19"/>
        <v>3.3149171270718231E-2</v>
      </c>
      <c r="J116" s="1">
        <f>IFERROR(getBondPrice3($A$1,A116,C116,100,$W$3,$W$4,$W$5,$W$6,$W$7,$W$8,$W$9,$W$10, $W$13,$W$14,$W$15,$W$16), 100000)</f>
        <v>99.201944901263531</v>
      </c>
      <c r="K116" s="1">
        <f t="shared" si="20"/>
        <v>2.1379497578860405E-2</v>
      </c>
      <c r="L116">
        <f t="shared" si="21"/>
        <v>0.12189572999281495</v>
      </c>
      <c r="M116">
        <f t="shared" si="22"/>
        <v>0.12189572999281495</v>
      </c>
      <c r="N116">
        <f t="shared" si="23"/>
        <v>-2.0050242113959366E-4</v>
      </c>
      <c r="O116">
        <f t="shared" si="24"/>
        <v>2.0050242113959366E-4</v>
      </c>
      <c r="AD116">
        <f t="shared" si="25"/>
        <v>2.1413203633627205E-2</v>
      </c>
    </row>
    <row r="117" spans="1:30" x14ac:dyDescent="0.2">
      <c r="A117" s="2">
        <v>45427</v>
      </c>
      <c r="B117" s="3">
        <v>6.5260273972602736</v>
      </c>
      <c r="C117">
        <v>2.5000000000000001E-2</v>
      </c>
      <c r="D117">
        <v>103.24355869565217</v>
      </c>
      <c r="E117">
        <v>2.1610000000000001E-2</v>
      </c>
      <c r="G117" s="2">
        <f t="shared" si="17"/>
        <v>42870</v>
      </c>
      <c r="H117" s="2">
        <f t="shared" si="18"/>
        <v>43054</v>
      </c>
      <c r="I117">
        <f t="shared" si="19"/>
        <v>1.1888586956521738</v>
      </c>
      <c r="J117" s="1">
        <f>IFERROR(getBondPrice3($A$1,A117,C117,100,$W$3,$W$4,$W$5,$W$6,$W$7,$W$8,$W$9,$W$10, $W$13,$W$14,$W$15,$W$16), 100000)</f>
        <v>103.38237090056481</v>
      </c>
      <c r="K117" s="1">
        <f t="shared" si="20"/>
        <v>2.1379663240114918E-2</v>
      </c>
      <c r="L117">
        <f t="shared" si="21"/>
        <v>0.13881220491263946</v>
      </c>
      <c r="M117">
        <f t="shared" si="22"/>
        <v>0.13881220491263946</v>
      </c>
      <c r="N117">
        <f t="shared" si="23"/>
        <v>-2.3033675988508306E-4</v>
      </c>
      <c r="O117">
        <f t="shared" si="24"/>
        <v>2.3033675988508306E-4</v>
      </c>
      <c r="AD117">
        <f t="shared" si="25"/>
        <v>2.1450005557598493E-2</v>
      </c>
    </row>
    <row r="118" spans="1:30" x14ac:dyDescent="0.2">
      <c r="A118" s="2">
        <v>45443</v>
      </c>
      <c r="B118" s="3">
        <v>6.5698630136986305</v>
      </c>
      <c r="C118">
        <v>0.02</v>
      </c>
      <c r="D118">
        <v>99.8454524590164</v>
      </c>
      <c r="E118">
        <v>2.1680000000000001E-2</v>
      </c>
      <c r="G118" s="2">
        <f t="shared" si="17"/>
        <v>42886</v>
      </c>
      <c r="H118" s="2">
        <f t="shared" si="18"/>
        <v>43069</v>
      </c>
      <c r="I118">
        <f t="shared" si="19"/>
        <v>0.86885245901639341</v>
      </c>
      <c r="J118" s="1">
        <f>IFERROR(getBondPrice3($A$1,A118,C118,100,$W$3,$W$4,$W$5,$W$6,$W$7,$W$8,$W$9,$W$10, $W$13,$W$14,$W$15,$W$16), 100000)</f>
        <v>99.977609820438474</v>
      </c>
      <c r="K118" s="1">
        <f t="shared" si="20"/>
        <v>2.1461589960514584E-2</v>
      </c>
      <c r="L118">
        <f t="shared" si="21"/>
        <v>0.1321573614220739</v>
      </c>
      <c r="M118">
        <f t="shared" si="22"/>
        <v>0.1321573614220739</v>
      </c>
      <c r="N118">
        <f t="shared" si="23"/>
        <v>-2.1841003948541715E-4</v>
      </c>
      <c r="O118">
        <f t="shared" si="24"/>
        <v>2.1841003948541715E-4</v>
      </c>
      <c r="AD118">
        <f t="shared" si="25"/>
        <v>2.1489062882110891E-2</v>
      </c>
    </row>
    <row r="119" spans="1:30" x14ac:dyDescent="0.2">
      <c r="A119" s="2">
        <v>45473</v>
      </c>
      <c r="B119" s="3">
        <v>6.6520547945205477</v>
      </c>
      <c r="C119">
        <v>0.02</v>
      </c>
      <c r="D119">
        <v>99.630786956521732</v>
      </c>
      <c r="E119">
        <v>2.1739999999999999E-2</v>
      </c>
      <c r="G119" s="2">
        <f t="shared" si="17"/>
        <v>42916</v>
      </c>
      <c r="H119" s="2">
        <f t="shared" si="18"/>
        <v>43100</v>
      </c>
      <c r="I119">
        <f t="shared" si="19"/>
        <v>0.70108695652173914</v>
      </c>
      <c r="J119" s="1">
        <f>IFERROR(getBondPrice3($A$1,A119,C119,100,$W$3,$W$4,$W$5,$W$6,$W$7,$W$8,$W$9,$W$10, $W$13,$W$14,$W$15,$W$16), 100000)</f>
        <v>99.759154957820343</v>
      </c>
      <c r="K119" s="1">
        <f t="shared" si="20"/>
        <v>2.1526129127645791E-2</v>
      </c>
      <c r="L119">
        <f t="shared" si="21"/>
        <v>0.12836800129861103</v>
      </c>
      <c r="M119">
        <f t="shared" si="22"/>
        <v>0.12836800129861103</v>
      </c>
      <c r="N119">
        <f t="shared" si="23"/>
        <v>-2.1387087235420765E-4</v>
      </c>
      <c r="O119">
        <f t="shared" si="24"/>
        <v>2.1387087235420765E-4</v>
      </c>
      <c r="AD119">
        <f t="shared" si="25"/>
        <v>2.1561746570425339E-2</v>
      </c>
    </row>
    <row r="120" spans="1:30" x14ac:dyDescent="0.2">
      <c r="A120" s="2">
        <v>45504</v>
      </c>
      <c r="B120" s="3">
        <v>6.7369863013698632</v>
      </c>
      <c r="C120">
        <v>2.1250000000000002E-2</v>
      </c>
      <c r="D120">
        <v>100.22999673913044</v>
      </c>
      <c r="E120">
        <v>2.1789999999999997E-2</v>
      </c>
      <c r="G120" s="2">
        <f t="shared" si="17"/>
        <v>42947</v>
      </c>
      <c r="H120" s="2">
        <f t="shared" si="18"/>
        <v>43131</v>
      </c>
      <c r="I120">
        <f t="shared" si="19"/>
        <v>0.56589673913043481</v>
      </c>
      <c r="J120" s="1">
        <f>IFERROR(getBondPrice3($A$1,A120,C120,100,$W$3,$W$4,$W$5,$W$6,$W$7,$W$8,$W$9,$W$10, $W$13,$W$14,$W$15,$W$16), 100000)</f>
        <v>100.35189053820872</v>
      </c>
      <c r="K120" s="1">
        <f t="shared" si="20"/>
        <v>2.1590908394535514E-2</v>
      </c>
      <c r="L120">
        <f t="shared" si="21"/>
        <v>0.12189379907827913</v>
      </c>
      <c r="M120">
        <f t="shared" si="22"/>
        <v>0.12189379907827913</v>
      </c>
      <c r="N120">
        <f t="shared" si="23"/>
        <v>-1.9909160546448257E-4</v>
      </c>
      <c r="O120">
        <f t="shared" si="24"/>
        <v>1.9909160546448257E-4</v>
      </c>
      <c r="AD120">
        <f t="shared" si="25"/>
        <v>2.1636104952233448E-2</v>
      </c>
    </row>
    <row r="121" spans="1:30" x14ac:dyDescent="0.2">
      <c r="A121" s="2">
        <v>45519</v>
      </c>
      <c r="B121" s="3">
        <v>6.7780821917808218</v>
      </c>
      <c r="C121">
        <v>2.375E-2</v>
      </c>
      <c r="D121">
        <v>101.74656576086956</v>
      </c>
      <c r="E121">
        <v>2.1819999999999999E-2</v>
      </c>
      <c r="G121" s="2">
        <f t="shared" si="17"/>
        <v>42962</v>
      </c>
      <c r="H121" s="2">
        <f t="shared" si="18"/>
        <v>43146</v>
      </c>
      <c r="I121">
        <f t="shared" si="19"/>
        <v>0.53566576086956519</v>
      </c>
      <c r="J121" s="1">
        <f>IFERROR(getBondPrice3($A$1,A121,C121,100,$W$3,$W$4,$W$5,$W$6,$W$7,$W$8,$W$9,$W$10, $W$13,$W$14,$W$15,$W$16), 100000)</f>
        <v>101.87740070365919</v>
      </c>
      <c r="K121" s="1">
        <f t="shared" si="20"/>
        <v>2.1607746070486676E-2</v>
      </c>
      <c r="L121">
        <f t="shared" si="21"/>
        <v>0.13083494278963315</v>
      </c>
      <c r="M121">
        <f t="shared" si="22"/>
        <v>0.13083494278963315</v>
      </c>
      <c r="N121">
        <f t="shared" si="23"/>
        <v>-2.12253929513323E-4</v>
      </c>
      <c r="O121">
        <f t="shared" si="24"/>
        <v>2.12253929513323E-4</v>
      </c>
      <c r="AD121">
        <f t="shared" si="25"/>
        <v>2.1671813253378733E-2</v>
      </c>
    </row>
    <row r="122" spans="1:30" x14ac:dyDescent="0.2">
      <c r="A122" s="2">
        <v>45535</v>
      </c>
      <c r="B122" s="3">
        <v>6.8219178082191778</v>
      </c>
      <c r="C122">
        <v>1.8749999999999999E-2</v>
      </c>
      <c r="D122">
        <v>98.401730386740326</v>
      </c>
      <c r="E122">
        <v>2.1840000000000002E-2</v>
      </c>
      <c r="G122" s="2">
        <f t="shared" si="17"/>
        <v>42978</v>
      </c>
      <c r="H122" s="2">
        <f t="shared" si="18"/>
        <v>43159</v>
      </c>
      <c r="I122">
        <f t="shared" si="19"/>
        <v>0.34703038674033149</v>
      </c>
      <c r="J122" s="1">
        <f>IFERROR(getBondPrice3($A$1,A122,C122,100,$W$3,$W$4,$W$5,$W$6,$W$7,$W$8,$W$9,$W$10, $W$13,$W$14,$W$15,$W$16), 100000)</f>
        <v>98.491019307290415</v>
      </c>
      <c r="K122" s="1">
        <f t="shared" si="20"/>
        <v>2.1692566971996875E-2</v>
      </c>
      <c r="L122">
        <f t="shared" si="21"/>
        <v>8.9288920550089301E-2</v>
      </c>
      <c r="M122">
        <f t="shared" si="22"/>
        <v>8.9288920550089301E-2</v>
      </c>
      <c r="N122">
        <f t="shared" si="23"/>
        <v>-1.4743302800312649E-4</v>
      </c>
      <c r="O122">
        <f t="shared" si="24"/>
        <v>1.4743302800312649E-4</v>
      </c>
      <c r="AD122">
        <f t="shared" si="25"/>
        <v>2.1709707725126107E-2</v>
      </c>
    </row>
    <row r="123" spans="1:30" x14ac:dyDescent="0.2">
      <c r="A123" s="2">
        <v>45565</v>
      </c>
      <c r="B123" s="3">
        <v>6.904109589041096</v>
      </c>
      <c r="C123">
        <v>2.1250000000000002E-2</v>
      </c>
      <c r="D123">
        <v>99.80190274725274</v>
      </c>
      <c r="E123">
        <v>2.1899999999999999E-2</v>
      </c>
      <c r="G123" s="2">
        <f t="shared" si="17"/>
        <v>43008</v>
      </c>
      <c r="H123" s="2">
        <f t="shared" si="18"/>
        <v>43190</v>
      </c>
      <c r="I123">
        <f t="shared" si="19"/>
        <v>0.21600274725274726</v>
      </c>
      <c r="J123" s="1">
        <f>IFERROR(getBondPrice3($A$1,A123,C123,100,$W$3,$W$4,$W$5,$W$6,$W$7,$W$8,$W$9,$W$10, $W$13,$W$14,$W$15,$W$16), 100000)</f>
        <v>99.904096157263041</v>
      </c>
      <c r="K123" s="1">
        <f t="shared" si="20"/>
        <v>2.1737884873138682E-2</v>
      </c>
      <c r="L123">
        <f t="shared" si="21"/>
        <v>0.10219341001030102</v>
      </c>
      <c r="M123">
        <f t="shared" si="22"/>
        <v>0.10219341001030102</v>
      </c>
      <c r="N123">
        <f t="shared" si="23"/>
        <v>-1.6211512686131746E-4</v>
      </c>
      <c r="O123">
        <f t="shared" si="24"/>
        <v>1.6211512686131746E-4</v>
      </c>
      <c r="AD123">
        <f t="shared" si="25"/>
        <v>2.1780221298345181E-2</v>
      </c>
    </row>
    <row r="124" spans="1:30" x14ac:dyDescent="0.2">
      <c r="A124" s="2">
        <v>45596</v>
      </c>
      <c r="B124" s="3">
        <v>6.9890410958904106</v>
      </c>
      <c r="C124">
        <v>2.2499999999999999E-2</v>
      </c>
      <c r="D124">
        <v>100.38889281767956</v>
      </c>
      <c r="E124">
        <v>2.1949999999999997E-2</v>
      </c>
      <c r="G124" s="2">
        <f t="shared" si="17"/>
        <v>43039</v>
      </c>
      <c r="H124" s="2">
        <f t="shared" si="18"/>
        <v>43220</v>
      </c>
      <c r="I124">
        <f t="shared" si="19"/>
        <v>3.7292817679558013E-2</v>
      </c>
      <c r="J124" s="1">
        <f>IFERROR(getBondPrice3($A$1,A124,C124,100,$W$3,$W$4,$W$5,$W$6,$W$7,$W$8,$W$9,$W$10, $W$13,$W$14,$W$15,$W$16), 100000)</f>
        <v>100.49020056471431</v>
      </c>
      <c r="K124" s="1">
        <f t="shared" si="20"/>
        <v>2.179701771664774E-2</v>
      </c>
      <c r="L124">
        <f t="shared" si="21"/>
        <v>0.10130774703475254</v>
      </c>
      <c r="M124">
        <f t="shared" si="22"/>
        <v>0.10130774703475254</v>
      </c>
      <c r="N124">
        <f t="shared" si="23"/>
        <v>-1.5298228335225775E-4</v>
      </c>
      <c r="O124">
        <f t="shared" si="24"/>
        <v>1.5298228335225775E-4</v>
      </c>
      <c r="AD124">
        <f t="shared" si="25"/>
        <v>2.1852351251213872E-2</v>
      </c>
    </row>
    <row r="125" spans="1:30" x14ac:dyDescent="0.2">
      <c r="A125" s="2">
        <v>45611</v>
      </c>
      <c r="B125" s="3">
        <v>7.0301369863013701</v>
      </c>
      <c r="C125">
        <v>2.2499999999999999E-2</v>
      </c>
      <c r="D125">
        <v>101.39807282608696</v>
      </c>
      <c r="E125">
        <v>2.1989999999999999E-2</v>
      </c>
      <c r="G125" s="2">
        <f t="shared" si="17"/>
        <v>42870</v>
      </c>
      <c r="H125" s="2">
        <f t="shared" si="18"/>
        <v>43054</v>
      </c>
      <c r="I125">
        <f t="shared" si="19"/>
        <v>1.0699728260869565</v>
      </c>
      <c r="J125" s="1">
        <f>IFERROR(getBondPrice3($A$1,A125,C125,100,$W$3,$W$4,$W$5,$W$6,$W$7,$W$8,$W$9,$W$10, $W$13,$W$14,$W$15,$W$16), 100000)</f>
        <v>101.50362057400243</v>
      </c>
      <c r="K125" s="1">
        <f t="shared" si="20"/>
        <v>2.1830321789356951E-2</v>
      </c>
      <c r="L125">
        <f t="shared" si="21"/>
        <v>0.10554774791546606</v>
      </c>
      <c r="M125">
        <f t="shared" si="22"/>
        <v>0.10554774791546606</v>
      </c>
      <c r="N125">
        <f t="shared" si="23"/>
        <v>-1.5967821064304805E-4</v>
      </c>
      <c r="O125">
        <f t="shared" si="24"/>
        <v>1.5967821064304805E-4</v>
      </c>
      <c r="AD125">
        <f t="shared" si="25"/>
        <v>2.1886986397211206E-2</v>
      </c>
    </row>
    <row r="126" spans="1:30" x14ac:dyDescent="0.2">
      <c r="A126" s="2">
        <v>45703</v>
      </c>
      <c r="B126" s="3">
        <v>7.2821917808219174</v>
      </c>
      <c r="C126">
        <v>0.02</v>
      </c>
      <c r="D126">
        <v>98.966686956521741</v>
      </c>
      <c r="E126">
        <v>2.222E-2</v>
      </c>
      <c r="G126" s="2">
        <f t="shared" si="17"/>
        <v>42962</v>
      </c>
      <c r="H126" s="2">
        <f t="shared" si="18"/>
        <v>43146</v>
      </c>
      <c r="I126">
        <f t="shared" si="19"/>
        <v>0.45108695652173914</v>
      </c>
      <c r="J126" s="1">
        <f>IFERROR(getBondPrice3($A$1,A126,C126,100,$W$3,$W$4,$W$5,$W$6,$W$7,$W$8,$W$9,$W$10, $W$13,$W$14,$W$15,$W$16), 100000)</f>
        <v>99.073988032636962</v>
      </c>
      <c r="K126" s="1">
        <f t="shared" si="20"/>
        <v>2.2057363899838381E-2</v>
      </c>
      <c r="L126">
        <f t="shared" si="21"/>
        <v>0.10730107611522044</v>
      </c>
      <c r="M126">
        <f t="shared" si="22"/>
        <v>0.10730107611522044</v>
      </c>
      <c r="N126">
        <f t="shared" si="23"/>
        <v>-1.6263610016161931E-4</v>
      </c>
      <c r="O126">
        <f t="shared" si="24"/>
        <v>1.6263610016161931E-4</v>
      </c>
      <c r="AD126">
        <f t="shared" si="25"/>
        <v>2.2095650524188049E-2</v>
      </c>
    </row>
    <row r="127" spans="1:30" x14ac:dyDescent="0.2">
      <c r="A127" s="2">
        <v>45792</v>
      </c>
      <c r="B127" s="3">
        <v>7.5260273972602736</v>
      </c>
      <c r="C127">
        <v>2.1250000000000002E-2</v>
      </c>
      <c r="D127">
        <v>100.26052989130434</v>
      </c>
      <c r="E127">
        <v>2.2339999999999999E-2</v>
      </c>
      <c r="G127" s="2">
        <f t="shared" si="17"/>
        <v>42870</v>
      </c>
      <c r="H127" s="2">
        <f t="shared" si="18"/>
        <v>43054</v>
      </c>
      <c r="I127">
        <f t="shared" si="19"/>
        <v>1.0105298913043479</v>
      </c>
      <c r="J127" s="1">
        <f>IFERROR(getBondPrice3($A$1,A127,C127,100,$W$3,$W$4,$W$5,$W$6,$W$7,$W$8,$W$9,$W$10, $W$13,$W$14,$W$15,$W$16), 100000)</f>
        <v>100.34287455222344</v>
      </c>
      <c r="K127" s="1">
        <f t="shared" si="20"/>
        <v>2.2218060820248711E-2</v>
      </c>
      <c r="L127">
        <f t="shared" si="21"/>
        <v>8.2344660919090984E-2</v>
      </c>
      <c r="M127">
        <f t="shared" si="22"/>
        <v>8.2344660919090984E-2</v>
      </c>
      <c r="N127">
        <f t="shared" si="23"/>
        <v>-1.2193917975128823E-4</v>
      </c>
      <c r="O127">
        <f t="shared" si="24"/>
        <v>1.2193917975128823E-4</v>
      </c>
      <c r="AD127">
        <f t="shared" si="25"/>
        <v>2.2291434447553053E-2</v>
      </c>
    </row>
    <row r="128" spans="1:30" x14ac:dyDescent="0.2">
      <c r="A128" s="2">
        <v>45884</v>
      </c>
      <c r="B128" s="3">
        <v>7.7780821917808218</v>
      </c>
      <c r="C128">
        <v>0.02</v>
      </c>
      <c r="D128">
        <v>98.646386956521738</v>
      </c>
      <c r="E128">
        <v>2.2540000000000001E-2</v>
      </c>
      <c r="G128" s="2">
        <f t="shared" si="17"/>
        <v>42962</v>
      </c>
      <c r="H128" s="2">
        <f t="shared" si="18"/>
        <v>43146</v>
      </c>
      <c r="I128">
        <f t="shared" si="19"/>
        <v>0.45108695652173914</v>
      </c>
      <c r="J128" s="1">
        <f>IFERROR(getBondPrice3($A$1,A128,C128,100,$W$3,$W$4,$W$5,$W$6,$W$7,$W$8,$W$9,$W$10, $W$13,$W$14,$W$15,$W$16), 100000)</f>
        <v>98.729390257106559</v>
      </c>
      <c r="K128" s="1">
        <f t="shared" si="20"/>
        <v>2.2423610797659411E-2</v>
      </c>
      <c r="L128">
        <f t="shared" si="21"/>
        <v>8.3003300584820749E-2</v>
      </c>
      <c r="M128">
        <f t="shared" si="22"/>
        <v>8.3003300584820749E-2</v>
      </c>
      <c r="N128">
        <f t="shared" si="23"/>
        <v>-1.1638920234059019E-4</v>
      </c>
      <c r="O128">
        <f t="shared" si="24"/>
        <v>1.1638920234059019E-4</v>
      </c>
      <c r="AD128">
        <f t="shared" si="25"/>
        <v>2.248765922954804E-2</v>
      </c>
    </row>
    <row r="129" spans="1:30" x14ac:dyDescent="0.2">
      <c r="A129" s="2">
        <v>45976</v>
      </c>
      <c r="B129" s="3">
        <v>8.0301369863013701</v>
      </c>
      <c r="C129">
        <v>2.2499999999999999E-2</v>
      </c>
      <c r="D129">
        <v>100.94497282608695</v>
      </c>
      <c r="E129">
        <v>2.2669999999999999E-2</v>
      </c>
      <c r="G129" s="2">
        <f t="shared" si="17"/>
        <v>42870</v>
      </c>
      <c r="H129" s="2">
        <f t="shared" si="18"/>
        <v>43054</v>
      </c>
      <c r="I129">
        <f t="shared" si="19"/>
        <v>1.0699728260869565</v>
      </c>
      <c r="J129" s="1">
        <f>IFERROR(getBondPrice3($A$1,A129,C129,100,$W$3,$W$4,$W$5,$W$6,$W$7,$W$8,$W$9,$W$10, $W$13,$W$14,$W$15,$W$16), 100000)</f>
        <v>101.00544077682898</v>
      </c>
      <c r="K129" s="1">
        <f t="shared" si="20"/>
        <v>2.2587976389353587E-2</v>
      </c>
      <c r="L129">
        <f t="shared" si="21"/>
        <v>6.0467950742022936E-2</v>
      </c>
      <c r="M129">
        <f t="shared" si="22"/>
        <v>6.0467950742022936E-2</v>
      </c>
      <c r="N129">
        <f t="shared" si="23"/>
        <v>-8.202361064641242E-5</v>
      </c>
      <c r="O129">
        <f t="shared" si="24"/>
        <v>8.202361064641242E-5</v>
      </c>
      <c r="AD129">
        <f t="shared" si="25"/>
        <v>2.2677747506428161E-2</v>
      </c>
    </row>
    <row r="130" spans="1:30" x14ac:dyDescent="0.2">
      <c r="A130" s="2">
        <v>46068</v>
      </c>
      <c r="B130" s="3">
        <v>8.2821917808219183</v>
      </c>
      <c r="C130">
        <v>1.6250000000000001E-2</v>
      </c>
      <c r="D130">
        <v>95.397808152173909</v>
      </c>
      <c r="E130">
        <v>2.2869999999999998E-2</v>
      </c>
      <c r="G130" s="2">
        <f t="shared" si="17"/>
        <v>42962</v>
      </c>
      <c r="H130" s="2">
        <f t="shared" si="18"/>
        <v>43146</v>
      </c>
      <c r="I130">
        <f t="shared" si="19"/>
        <v>0.36650815217391303</v>
      </c>
      <c r="J130" s="1">
        <f>IFERROR(getBondPrice3($A$1,A130,C130,100,$W$3,$W$4,$W$5,$W$6,$W$7,$W$8,$W$9,$W$10, $W$13,$W$14,$W$15,$W$16), 100000)</f>
        <v>95.428023236018234</v>
      </c>
      <c r="K130" s="1">
        <f t="shared" si="20"/>
        <v>2.2832255786126163E-2</v>
      </c>
      <c r="L130">
        <f t="shared" si="21"/>
        <v>3.0215083844325363E-2</v>
      </c>
      <c r="M130">
        <f t="shared" si="22"/>
        <v>3.0215083844325363E-2</v>
      </c>
      <c r="N130">
        <f t="shared" si="23"/>
        <v>-3.7744213873834587E-5</v>
      </c>
      <c r="O130">
        <f t="shared" si="24"/>
        <v>3.7744213873834587E-5</v>
      </c>
      <c r="AD130">
        <f t="shared" si="25"/>
        <v>2.2861824813285535E-2</v>
      </c>
    </row>
    <row r="131" spans="1:30" x14ac:dyDescent="0.2">
      <c r="A131" s="2">
        <v>46157</v>
      </c>
      <c r="B131" s="3">
        <v>8.5260273972602736</v>
      </c>
      <c r="C131">
        <v>1.6250000000000001E-2</v>
      </c>
      <c r="D131">
        <v>95.577458152173904</v>
      </c>
      <c r="E131">
        <v>2.3E-2</v>
      </c>
      <c r="G131" s="2">
        <f t="shared" ref="G131:G182" si="26">COUPPCD($A$1,A131,2,1)</f>
        <v>42870</v>
      </c>
      <c r="H131" s="2">
        <f t="shared" ref="H131:H182" si="27">COUPNCD($A$1,A131,2,1)</f>
        <v>43054</v>
      </c>
      <c r="I131">
        <f t="shared" ref="I131:I182" si="28">100*C131/2*($A$1-G131)/(H131-G131)</f>
        <v>0.77275815217391308</v>
      </c>
      <c r="J131" s="1">
        <f>IFERROR(getBondPrice3($A$1,A131,C131,100,$W$3,$W$4,$W$5,$W$6,$W$7,$W$8,$W$9,$W$10, $W$13,$W$14,$W$15,$W$16), 100000)</f>
        <v>95.586887582218466</v>
      </c>
      <c r="K131" s="1">
        <f t="shared" ref="K131:K182" si="29">IFERROR(YIELD($A$1,A131,C131,J131-I131,100,2,1),-2)</f>
        <v>2.2983409470695028E-2</v>
      </c>
      <c r="L131">
        <f t="shared" ref="L131:L182" si="30">J131-D131</f>
        <v>9.4294300445625368E-3</v>
      </c>
      <c r="M131">
        <f t="shared" ref="M131:M182" si="31">ABS(L131)</f>
        <v>9.4294300445625368E-3</v>
      </c>
      <c r="N131">
        <f t="shared" ref="N131:N182" si="32">K131-E131</f>
        <v>-1.6590529304971735E-5</v>
      </c>
      <c r="O131">
        <f t="shared" ref="O131:O182" si="33">ABS(N131)</f>
        <v>1.6590529304971735E-5</v>
      </c>
      <c r="AD131">
        <f t="shared" si="25"/>
        <v>2.3034297611305213E-2</v>
      </c>
    </row>
    <row r="132" spans="1:30" x14ac:dyDescent="0.2">
      <c r="A132" s="2">
        <v>46249</v>
      </c>
      <c r="B132" s="3">
        <v>8.7780821917808218</v>
      </c>
      <c r="C132">
        <v>1.4999999999999999E-2</v>
      </c>
      <c r="D132">
        <v>93.932115217391299</v>
      </c>
      <c r="E132">
        <v>2.3109999999999999E-2</v>
      </c>
      <c r="G132" s="2">
        <f t="shared" si="26"/>
        <v>42962</v>
      </c>
      <c r="H132" s="2">
        <f t="shared" si="27"/>
        <v>43146</v>
      </c>
      <c r="I132">
        <f t="shared" si="28"/>
        <v>0.33831521739130432</v>
      </c>
      <c r="J132" s="1">
        <f>IFERROR(getBondPrice3($A$1,A132,C132,100,$W$3,$W$4,$W$5,$W$6,$W$7,$W$8,$W$9,$W$10, $W$13,$W$14,$W$15,$W$16), 100000)</f>
        <v>93.884260321555701</v>
      </c>
      <c r="K132" s="1">
        <f t="shared" si="29"/>
        <v>2.3169532819555454E-2</v>
      </c>
      <c r="L132">
        <f t="shared" si="30"/>
        <v>-4.7854895835598654E-2</v>
      </c>
      <c r="M132">
        <f t="shared" si="31"/>
        <v>4.7854895835598654E-2</v>
      </c>
      <c r="N132">
        <f t="shared" si="32"/>
        <v>5.9532819555455779E-5</v>
      </c>
      <c r="O132">
        <f t="shared" si="33"/>
        <v>5.9532819555455779E-5</v>
      </c>
      <c r="AD132">
        <f t="shared" ref="AD132:AD182" si="34">spotRate3($A$1,A132,$W$3,$W$4,$W$5,$W$6,$W$7,$W$8,$W$9,$W$10,$W$13,$W$14,$W$15,$W$16)</f>
        <v>2.3206915426188912E-2</v>
      </c>
    </row>
    <row r="133" spans="1:30" x14ac:dyDescent="0.2">
      <c r="A133" s="2">
        <v>46341</v>
      </c>
      <c r="B133" s="3">
        <v>9.0301369863013701</v>
      </c>
      <c r="C133">
        <v>0.02</v>
      </c>
      <c r="D133">
        <v>98.372986956521729</v>
      </c>
      <c r="E133">
        <v>2.3179999999999999E-2</v>
      </c>
      <c r="G133" s="2">
        <f t="shared" si="26"/>
        <v>42870</v>
      </c>
      <c r="H133" s="2">
        <f t="shared" si="27"/>
        <v>43054</v>
      </c>
      <c r="I133">
        <f t="shared" si="28"/>
        <v>0.95108695652173914</v>
      </c>
      <c r="J133" s="1">
        <f>IFERROR(getBondPrice3($A$1,A133,C133,100,$W$3,$W$4,$W$5,$W$6,$W$7,$W$8,$W$9,$W$10, $W$13,$W$14,$W$15,$W$16), 100000)</f>
        <v>98.295717911706191</v>
      </c>
      <c r="K133" s="1">
        <f t="shared" si="29"/>
        <v>2.3278995391732202E-2</v>
      </c>
      <c r="L133">
        <f t="shared" si="30"/>
        <v>-7.7269044815537313E-2</v>
      </c>
      <c r="M133">
        <f t="shared" si="31"/>
        <v>7.7269044815537313E-2</v>
      </c>
      <c r="N133">
        <f t="shared" si="32"/>
        <v>9.8995391732203258E-5</v>
      </c>
      <c r="O133">
        <f t="shared" si="33"/>
        <v>9.8995391732203258E-5</v>
      </c>
      <c r="AD133">
        <f t="shared" si="34"/>
        <v>2.3373894782790627E-2</v>
      </c>
    </row>
    <row r="134" spans="1:30" x14ac:dyDescent="0.2">
      <c r="A134" s="2">
        <v>46433</v>
      </c>
      <c r="B134" s="3">
        <v>9.2821917808219183</v>
      </c>
      <c r="C134">
        <v>2.2499999999999999E-2</v>
      </c>
      <c r="D134">
        <v>99.843372826086949</v>
      </c>
      <c r="E134">
        <v>2.3300000000000001E-2</v>
      </c>
      <c r="G134" s="2">
        <f t="shared" si="26"/>
        <v>42962</v>
      </c>
      <c r="H134" s="2">
        <f t="shared" si="27"/>
        <v>43146</v>
      </c>
      <c r="I134">
        <f t="shared" si="28"/>
        <v>0.50747282608695654</v>
      </c>
      <c r="J134" s="1">
        <f>IFERROR(getBondPrice3($A$1,A134,C134,100,$W$3,$W$4,$W$5,$W$6,$W$7,$W$8,$W$9,$W$10, $W$13,$W$14,$W$15,$W$16), 100000)</f>
        <v>99.751636984292034</v>
      </c>
      <c r="K134" s="1">
        <f t="shared" si="29"/>
        <v>2.3409419963703732E-2</v>
      </c>
      <c r="L134">
        <f t="shared" si="30"/>
        <v>-9.1735841794914563E-2</v>
      </c>
      <c r="M134">
        <f t="shared" si="31"/>
        <v>9.1735841794914563E-2</v>
      </c>
      <c r="N134">
        <f t="shared" si="32"/>
        <v>1.0941996370373089E-4</v>
      </c>
      <c r="O134">
        <f t="shared" si="33"/>
        <v>1.0941996370373089E-4</v>
      </c>
      <c r="AD134">
        <f t="shared" si="34"/>
        <v>2.3535361216202477E-2</v>
      </c>
    </row>
    <row r="135" spans="1:30" x14ac:dyDescent="0.2">
      <c r="A135" s="2">
        <v>46522</v>
      </c>
      <c r="B135" s="3">
        <v>9.5260273972602736</v>
      </c>
      <c r="C135">
        <v>2.375E-2</v>
      </c>
      <c r="D135">
        <v>101.48101576086957</v>
      </c>
      <c r="E135">
        <v>2.334E-2</v>
      </c>
      <c r="G135" s="2">
        <f t="shared" si="26"/>
        <v>42870</v>
      </c>
      <c r="H135" s="2">
        <f t="shared" si="27"/>
        <v>43054</v>
      </c>
      <c r="I135">
        <f t="shared" si="28"/>
        <v>1.1294157608695652</v>
      </c>
      <c r="J135" s="1">
        <f>IFERROR(getBondPrice3($A$1,A135,C135,100,$W$3,$W$4,$W$5,$W$6,$W$7,$W$8,$W$9,$W$10, $W$13,$W$14,$W$15,$W$16), 100000)</f>
        <v>101.32053125335139</v>
      </c>
      <c r="K135" s="1">
        <f t="shared" si="29"/>
        <v>2.3524470069643127E-2</v>
      </c>
      <c r="L135">
        <f t="shared" si="30"/>
        <v>-0.16048450751817711</v>
      </c>
      <c r="M135">
        <f t="shared" si="31"/>
        <v>0.16048450751817711</v>
      </c>
      <c r="N135">
        <f t="shared" si="32"/>
        <v>1.8447006964312715E-4</v>
      </c>
      <c r="O135">
        <f t="shared" si="33"/>
        <v>1.8447006964312715E-4</v>
      </c>
      <c r="AD135">
        <f t="shared" si="34"/>
        <v>2.3686434402507079E-2</v>
      </c>
    </row>
    <row r="136" spans="1:30" x14ac:dyDescent="0.2">
      <c r="A136" s="2">
        <v>46614</v>
      </c>
      <c r="B136" s="3">
        <v>9.7780821917808218</v>
      </c>
      <c r="C136">
        <v>2.2499999999999999E-2</v>
      </c>
      <c r="D136">
        <v>99.718372826086949</v>
      </c>
      <c r="E136">
        <v>2.341E-2</v>
      </c>
      <c r="G136" s="2">
        <f t="shared" si="26"/>
        <v>42962</v>
      </c>
      <c r="H136" s="2">
        <f t="shared" si="27"/>
        <v>43146</v>
      </c>
      <c r="I136">
        <f t="shared" si="28"/>
        <v>0.50747282608695654</v>
      </c>
      <c r="J136" s="1">
        <f>IFERROR(getBondPrice3($A$1,A136,C136,100,$W$3,$W$4,$W$5,$W$6,$W$7,$W$8,$W$9,$W$10, $W$13,$W$14,$W$15,$W$16), 100000)</f>
        <v>99.475833231896331</v>
      </c>
      <c r="K136" s="1">
        <f t="shared" si="29"/>
        <v>2.3686656520012811E-2</v>
      </c>
      <c r="L136">
        <f t="shared" si="30"/>
        <v>-0.24253959419061744</v>
      </c>
      <c r="M136">
        <f t="shared" si="31"/>
        <v>0.24253959419061744</v>
      </c>
      <c r="N136">
        <f t="shared" si="32"/>
        <v>2.7665652001281071E-4</v>
      </c>
      <c r="O136">
        <f t="shared" si="33"/>
        <v>2.7665652001281071E-4</v>
      </c>
      <c r="AD136">
        <f t="shared" si="34"/>
        <v>2.3837421196953434E-2</v>
      </c>
    </row>
    <row r="137" spans="1:30" x14ac:dyDescent="0.2">
      <c r="A137" s="2">
        <v>46980</v>
      </c>
      <c r="B137" s="3">
        <v>10.780821917808218</v>
      </c>
      <c r="C137">
        <v>5.5E-2</v>
      </c>
      <c r="D137">
        <v>131.25608913043479</v>
      </c>
      <c r="E137">
        <v>2.3330000000000004E-2</v>
      </c>
      <c r="G137" s="2">
        <f t="shared" si="26"/>
        <v>42962</v>
      </c>
      <c r="H137" s="2">
        <f t="shared" si="27"/>
        <v>43146</v>
      </c>
      <c r="I137">
        <f t="shared" si="28"/>
        <v>1.2404891304347827</v>
      </c>
      <c r="J137" s="1">
        <f>IFERROR(getBondPrice3($A$1,A137,C137,100,$W$3,$W$4,$W$5,$W$6,$W$7,$W$8,$W$9,$W$10, $W$13,$W$14,$W$15,$W$16), 100000)</f>
        <v>130.68179061485978</v>
      </c>
      <c r="K137" s="1">
        <f t="shared" si="29"/>
        <v>2.3848153947090559E-2</v>
      </c>
      <c r="L137">
        <f t="shared" si="30"/>
        <v>-0.57429851557500911</v>
      </c>
      <c r="M137">
        <f t="shared" si="31"/>
        <v>0.57429851557500911</v>
      </c>
      <c r="N137">
        <f t="shared" si="32"/>
        <v>5.1815394709055565E-4</v>
      </c>
      <c r="O137">
        <f t="shared" si="33"/>
        <v>5.1815394709055565E-4</v>
      </c>
      <c r="AD137">
        <f t="shared" si="34"/>
        <v>2.4388417682320758E-2</v>
      </c>
    </row>
    <row r="138" spans="1:30" x14ac:dyDescent="0.2">
      <c r="A138" s="2">
        <v>47072</v>
      </c>
      <c r="B138" s="3">
        <v>11.032876712328767</v>
      </c>
      <c r="C138">
        <v>5.2499999999999998E-2</v>
      </c>
      <c r="D138">
        <v>130.66850326086956</v>
      </c>
      <c r="E138">
        <v>2.3370000000000002E-2</v>
      </c>
      <c r="G138" s="2">
        <f t="shared" si="26"/>
        <v>42870</v>
      </c>
      <c r="H138" s="2">
        <f t="shared" si="27"/>
        <v>43054</v>
      </c>
      <c r="I138">
        <f t="shared" si="28"/>
        <v>2.4966032608695654</v>
      </c>
      <c r="J138" s="1">
        <f>IFERROR(getBondPrice3($A$1,A138,C138,100,$W$3,$W$4,$W$5,$W$6,$W$7,$W$8,$W$9,$W$10, $W$13,$W$14,$W$15,$W$16), 100000)</f>
        <v>129.97208408587366</v>
      </c>
      <c r="K138" s="1">
        <f t="shared" si="29"/>
        <v>2.3988134029297746E-2</v>
      </c>
      <c r="L138">
        <f t="shared" si="30"/>
        <v>-0.69641917499589567</v>
      </c>
      <c r="M138">
        <f t="shared" si="31"/>
        <v>0.69641917499589567</v>
      </c>
      <c r="N138">
        <f t="shared" si="32"/>
        <v>6.1813402929774414E-4</v>
      </c>
      <c r="O138">
        <f t="shared" si="33"/>
        <v>6.1813402929774414E-4</v>
      </c>
      <c r="AD138">
        <f t="shared" si="34"/>
        <v>2.4515057267574317E-2</v>
      </c>
    </row>
    <row r="139" spans="1:30" x14ac:dyDescent="0.2">
      <c r="A139" s="2">
        <v>47164</v>
      </c>
      <c r="B139" s="3">
        <v>11.284931506849315</v>
      </c>
      <c r="C139">
        <v>5.2499999999999998E-2</v>
      </c>
      <c r="D139">
        <v>129.80130326086956</v>
      </c>
      <c r="E139">
        <v>2.3460000000000002E-2</v>
      </c>
      <c r="G139" s="2">
        <f t="shared" si="26"/>
        <v>42962</v>
      </c>
      <c r="H139" s="2">
        <f t="shared" si="27"/>
        <v>43146</v>
      </c>
      <c r="I139">
        <f t="shared" si="28"/>
        <v>1.1841032608695652</v>
      </c>
      <c r="J139" s="1">
        <f>IFERROR(getBondPrice3($A$1,A139,C139,100,$W$3,$W$4,$W$5,$W$6,$W$7,$W$8,$W$9,$W$10, $W$13,$W$14,$W$15,$W$16), 100000)</f>
        <v>129.07179765680544</v>
      </c>
      <c r="K139" s="1">
        <f t="shared" si="29"/>
        <v>2.4100397234737975E-2</v>
      </c>
      <c r="L139">
        <f t="shared" si="30"/>
        <v>-0.72950560406411569</v>
      </c>
      <c r="M139">
        <f t="shared" si="31"/>
        <v>0.72950560406411569</v>
      </c>
      <c r="N139">
        <f t="shared" si="32"/>
        <v>6.40397234737973E-4</v>
      </c>
      <c r="O139">
        <f t="shared" si="33"/>
        <v>6.40397234737973E-4</v>
      </c>
      <c r="AD139">
        <f t="shared" si="34"/>
        <v>2.4637181387815659E-2</v>
      </c>
    </row>
    <row r="140" spans="1:30" x14ac:dyDescent="0.2">
      <c r="A140" s="2">
        <v>47345</v>
      </c>
      <c r="B140" s="3">
        <v>11.780821917808218</v>
      </c>
      <c r="C140">
        <v>6.1249999999999999E-2</v>
      </c>
      <c r="D140">
        <v>139.9830538043478</v>
      </c>
      <c r="E140">
        <v>2.3519999999999999E-2</v>
      </c>
      <c r="G140" s="2">
        <f t="shared" si="26"/>
        <v>42962</v>
      </c>
      <c r="H140" s="2">
        <f t="shared" si="27"/>
        <v>43146</v>
      </c>
      <c r="I140">
        <f t="shared" si="28"/>
        <v>1.3814538043478262</v>
      </c>
      <c r="J140" s="1">
        <f>IFERROR(getBondPrice3($A$1,A140,C140,100,$W$3,$W$4,$W$5,$W$6,$W$7,$W$8,$W$9,$W$10, $W$13,$W$14,$W$15,$W$16), 100000)</f>
        <v>139.12752576153758</v>
      </c>
      <c r="K140" s="1">
        <f t="shared" si="29"/>
        <v>2.4209705663780692E-2</v>
      </c>
      <c r="L140">
        <f t="shared" si="30"/>
        <v>-0.85552804281022077</v>
      </c>
      <c r="M140">
        <f t="shared" si="31"/>
        <v>0.85552804281022077</v>
      </c>
      <c r="N140">
        <f t="shared" si="32"/>
        <v>6.897056637806924E-4</v>
      </c>
      <c r="O140">
        <f t="shared" si="33"/>
        <v>6.897056637806924E-4</v>
      </c>
      <c r="AD140">
        <f t="shared" si="34"/>
        <v>2.4864751234061733E-2</v>
      </c>
    </row>
    <row r="141" spans="1:30" x14ac:dyDescent="0.2">
      <c r="A141" s="2">
        <v>47618</v>
      </c>
      <c r="B141" s="3">
        <v>12.528767123287672</v>
      </c>
      <c r="C141">
        <v>6.25E-2</v>
      </c>
      <c r="D141">
        <v>144.75344673913042</v>
      </c>
      <c r="E141">
        <v>2.3740000000000001E-2</v>
      </c>
      <c r="G141" s="2">
        <f t="shared" si="26"/>
        <v>42870</v>
      </c>
      <c r="H141" s="2">
        <f t="shared" si="27"/>
        <v>43054</v>
      </c>
      <c r="I141">
        <f t="shared" si="28"/>
        <v>2.9721467391304346</v>
      </c>
      <c r="J141" s="1">
        <f>IFERROR(getBondPrice3($A$1,A141,C141,100,$W$3,$W$4,$W$5,$W$6,$W$7,$W$8,$W$9,$W$10, $W$13,$W$14,$W$15,$W$16), 100000)</f>
        <v>143.78180785038944</v>
      </c>
      <c r="K141" s="1">
        <f t="shared" si="29"/>
        <v>2.4470085360289568E-2</v>
      </c>
      <c r="L141">
        <f t="shared" si="30"/>
        <v>-0.97163888874098348</v>
      </c>
      <c r="M141">
        <f t="shared" si="31"/>
        <v>0.97163888874098348</v>
      </c>
      <c r="N141">
        <f t="shared" si="32"/>
        <v>7.3008536028956739E-4</v>
      </c>
      <c r="O141">
        <f t="shared" si="33"/>
        <v>7.3008536028956739E-4</v>
      </c>
      <c r="AD141">
        <f t="shared" si="34"/>
        <v>2.5177964793605838E-2</v>
      </c>
    </row>
    <row r="142" spans="1:30" x14ac:dyDescent="0.2">
      <c r="A142" s="2">
        <v>47894</v>
      </c>
      <c r="B142" s="3">
        <v>13.284931506849315</v>
      </c>
      <c r="C142">
        <v>5.3749999999999999E-2</v>
      </c>
      <c r="D142">
        <v>135.05609619565217</v>
      </c>
      <c r="E142">
        <v>2.3849999999999996E-2</v>
      </c>
      <c r="G142" s="2">
        <f t="shared" si="26"/>
        <v>42962</v>
      </c>
      <c r="H142" s="2">
        <f t="shared" si="27"/>
        <v>43146</v>
      </c>
      <c r="I142">
        <f t="shared" si="28"/>
        <v>1.2122961956521738</v>
      </c>
      <c r="J142" s="1">
        <f>IFERROR(getBondPrice3($A$1,A142,C142,100,$W$3,$W$4,$W$5,$W$6,$W$7,$W$8,$W$9,$W$10, $W$13,$W$14,$W$15,$W$16), 100000)</f>
        <v>133.75818127762699</v>
      </c>
      <c r="K142" s="1">
        <f t="shared" si="29"/>
        <v>2.4818215675549215E-2</v>
      </c>
      <c r="L142">
        <f t="shared" si="30"/>
        <v>-1.2979149180251852</v>
      </c>
      <c r="M142">
        <f t="shared" si="31"/>
        <v>1.2979149180251852</v>
      </c>
      <c r="N142">
        <f t="shared" si="32"/>
        <v>9.682156755492187E-4</v>
      </c>
      <c r="O142">
        <f t="shared" si="33"/>
        <v>9.682156755492187E-4</v>
      </c>
      <c r="AD142">
        <f t="shared" si="34"/>
        <v>2.5460882924256387E-2</v>
      </c>
    </row>
    <row r="143" spans="1:30" x14ac:dyDescent="0.2">
      <c r="A143" s="2">
        <v>49720</v>
      </c>
      <c r="B143" s="3">
        <v>18.287671232876711</v>
      </c>
      <c r="C143">
        <v>4.4999999999999998E-2</v>
      </c>
      <c r="D143">
        <v>130.09304565217391</v>
      </c>
      <c r="E143">
        <v>2.5070000000000002E-2</v>
      </c>
      <c r="G143" s="2">
        <f t="shared" si="26"/>
        <v>42962</v>
      </c>
      <c r="H143" s="2">
        <f t="shared" si="27"/>
        <v>43146</v>
      </c>
      <c r="I143">
        <f t="shared" si="28"/>
        <v>1.0149456521739131</v>
      </c>
      <c r="J143" s="1">
        <f>IFERROR(getBondPrice3($A$1,A143,C143,100,$W$3,$W$4,$W$5,$W$6,$W$7,$W$8,$W$9,$W$10, $W$13,$W$14,$W$15,$W$16), 100000)</f>
        <v>128.41360482943861</v>
      </c>
      <c r="K143" s="1">
        <f t="shared" si="29"/>
        <v>2.6057105121902183E-2</v>
      </c>
      <c r="L143">
        <f t="shared" si="30"/>
        <v>-1.6794408227353017</v>
      </c>
      <c r="M143">
        <f t="shared" si="31"/>
        <v>1.6794408227353017</v>
      </c>
      <c r="N143">
        <f t="shared" si="32"/>
        <v>9.8710512190218133E-4</v>
      </c>
      <c r="O143">
        <f t="shared" si="33"/>
        <v>9.8710512190218133E-4</v>
      </c>
      <c r="AD143">
        <f t="shared" si="34"/>
        <v>2.672298607649614E-2</v>
      </c>
    </row>
    <row r="144" spans="1:30" x14ac:dyDescent="0.2">
      <c r="A144" s="2">
        <v>50086</v>
      </c>
      <c r="B144" s="3">
        <v>19.290410958904111</v>
      </c>
      <c r="C144">
        <v>4.7500000000000001E-2</v>
      </c>
      <c r="D144">
        <v>134.39163152173913</v>
      </c>
      <c r="E144">
        <v>2.5510000000000001E-2</v>
      </c>
      <c r="G144" s="2">
        <f t="shared" si="26"/>
        <v>42962</v>
      </c>
      <c r="H144" s="2">
        <f t="shared" si="27"/>
        <v>43146</v>
      </c>
      <c r="I144">
        <f t="shared" si="28"/>
        <v>1.0713315217391304</v>
      </c>
      <c r="J144" s="1">
        <f>IFERROR(getBondPrice3($A$1,A144,C144,100,$W$3,$W$4,$W$5,$W$6,$W$7,$W$8,$W$9,$W$10, $W$13,$W$14,$W$15,$W$16), 100000)</f>
        <v>133.16095526891596</v>
      </c>
      <c r="K144" s="1">
        <f t="shared" si="29"/>
        <v>2.6188312611404578E-2</v>
      </c>
      <c r="L144">
        <f t="shared" si="30"/>
        <v>-1.2306762528231729</v>
      </c>
      <c r="M144">
        <f t="shared" si="31"/>
        <v>1.2306762528231729</v>
      </c>
      <c r="N144">
        <f t="shared" si="32"/>
        <v>6.7831261140457663E-4</v>
      </c>
      <c r="O144">
        <f t="shared" si="33"/>
        <v>6.7831261140457663E-4</v>
      </c>
      <c r="AD144">
        <f t="shared" si="34"/>
        <v>2.6901727692750246E-2</v>
      </c>
    </row>
    <row r="145" spans="1:30" x14ac:dyDescent="0.2">
      <c r="A145" s="2">
        <v>50175</v>
      </c>
      <c r="B145" s="3">
        <v>19.534246575342465</v>
      </c>
      <c r="C145">
        <v>0.05</v>
      </c>
      <c r="D145">
        <v>139.62771739130434</v>
      </c>
      <c r="E145">
        <v>2.563E-2</v>
      </c>
      <c r="G145" s="2">
        <f t="shared" si="26"/>
        <v>42870</v>
      </c>
      <c r="H145" s="2">
        <f t="shared" si="27"/>
        <v>43054</v>
      </c>
      <c r="I145">
        <f t="shared" si="28"/>
        <v>2.3777173913043477</v>
      </c>
      <c r="J145" s="1">
        <f>IFERROR(getBondPrice3($A$1,A145,C145,100,$W$3,$W$4,$W$5,$W$6,$W$7,$W$8,$W$9,$W$10, $W$13,$W$14,$W$15,$W$16), 100000)</f>
        <v>138.58993051186943</v>
      </c>
      <c r="K145" s="1">
        <f t="shared" si="29"/>
        <v>2.6189540608309345E-2</v>
      </c>
      <c r="L145">
        <f t="shared" si="30"/>
        <v>-1.0377868794349183</v>
      </c>
      <c r="M145">
        <f t="shared" si="31"/>
        <v>1.0377868794349183</v>
      </c>
      <c r="N145">
        <f t="shared" si="32"/>
        <v>5.595406083093446E-4</v>
      </c>
      <c r="O145">
        <f t="shared" si="33"/>
        <v>5.595406083093446E-4</v>
      </c>
      <c r="AD145">
        <f t="shared" si="34"/>
        <v>2.6943927155158344E-2</v>
      </c>
    </row>
    <row r="146" spans="1:30" x14ac:dyDescent="0.2">
      <c r="A146" s="2">
        <v>50451</v>
      </c>
      <c r="B146" s="3">
        <v>20.290410958904111</v>
      </c>
      <c r="C146">
        <v>4.3749999999999997E-2</v>
      </c>
      <c r="D146">
        <v>128.68985271739132</v>
      </c>
      <c r="E146">
        <v>2.6070000000000003E-2</v>
      </c>
      <c r="G146" s="2">
        <f t="shared" si="26"/>
        <v>42962</v>
      </c>
      <c r="H146" s="2">
        <f t="shared" si="27"/>
        <v>43146</v>
      </c>
      <c r="I146">
        <f t="shared" si="28"/>
        <v>0.98675271739130432</v>
      </c>
      <c r="J146" s="1">
        <f>IFERROR(getBondPrice3($A$1,A146,C146,100,$W$3,$W$4,$W$5,$W$6,$W$7,$W$8,$W$9,$W$10, $W$13,$W$14,$W$15,$W$16), 100000)</f>
        <v>128.1107383450543</v>
      </c>
      <c r="K146" s="1">
        <f t="shared" si="29"/>
        <v>2.6387127742657147E-2</v>
      </c>
      <c r="L146">
        <f t="shared" si="30"/>
        <v>-0.5791143723370169</v>
      </c>
      <c r="M146">
        <f t="shared" si="31"/>
        <v>0.5791143723370169</v>
      </c>
      <c r="N146">
        <f t="shared" si="32"/>
        <v>3.171277426571445E-4</v>
      </c>
      <c r="O146">
        <f t="shared" si="33"/>
        <v>3.171277426571445E-4</v>
      </c>
      <c r="AD146">
        <f t="shared" si="34"/>
        <v>2.7073624526231913E-2</v>
      </c>
    </row>
    <row r="147" spans="1:30" x14ac:dyDescent="0.2">
      <c r="A147" s="2">
        <v>50540</v>
      </c>
      <c r="B147" s="3">
        <v>20.534246575342465</v>
      </c>
      <c r="C147">
        <v>4.4999999999999998E-2</v>
      </c>
      <c r="D147">
        <v>131.96024565217391</v>
      </c>
      <c r="E147">
        <v>2.614E-2</v>
      </c>
      <c r="G147" s="2">
        <f t="shared" si="26"/>
        <v>42870</v>
      </c>
      <c r="H147" s="2">
        <f t="shared" si="27"/>
        <v>43054</v>
      </c>
      <c r="I147">
        <f t="shared" si="28"/>
        <v>2.1399456521739131</v>
      </c>
      <c r="J147" s="1">
        <f>IFERROR(getBondPrice3($A$1,A147,C147,100,$W$3,$W$4,$W$5,$W$6,$W$7,$W$8,$W$9,$W$10, $W$13,$W$14,$W$15,$W$16), 100000)</f>
        <v>131.46428636039536</v>
      </c>
      <c r="K147" s="1">
        <f t="shared" si="29"/>
        <v>2.6401306621602779E-2</v>
      </c>
      <c r="L147">
        <f t="shared" si="30"/>
        <v>-0.49595929177854714</v>
      </c>
      <c r="M147">
        <f t="shared" si="31"/>
        <v>0.49595929177854714</v>
      </c>
      <c r="N147">
        <f t="shared" si="32"/>
        <v>2.6130662160277901E-4</v>
      </c>
      <c r="O147">
        <f t="shared" si="33"/>
        <v>2.6130662160277901E-4</v>
      </c>
      <c r="AD147">
        <f t="shared" si="34"/>
        <v>2.7115466737928466E-2</v>
      </c>
    </row>
    <row r="148" spans="1:30" x14ac:dyDescent="0.2">
      <c r="A148" s="2">
        <v>50816</v>
      </c>
      <c r="B148" s="3">
        <v>21.290410958904111</v>
      </c>
      <c r="C148">
        <v>3.5000000000000003E-2</v>
      </c>
      <c r="D148">
        <v>114.43000217391305</v>
      </c>
      <c r="E148">
        <v>2.656E-2</v>
      </c>
      <c r="G148" s="2">
        <f t="shared" si="26"/>
        <v>42962</v>
      </c>
      <c r="H148" s="2">
        <f t="shared" si="27"/>
        <v>43146</v>
      </c>
      <c r="I148">
        <f t="shared" si="28"/>
        <v>0.78940217391304368</v>
      </c>
      <c r="J148" s="1">
        <f>IFERROR(getBondPrice3($A$1,A148,C148,100,$W$3,$W$4,$W$5,$W$6,$W$7,$W$8,$W$9,$W$10, $W$13,$W$14,$W$15,$W$16), 100000)</f>
        <v>114.26094200876162</v>
      </c>
      <c r="K148" s="1">
        <f t="shared" si="29"/>
        <v>2.6660325211060133E-2</v>
      </c>
      <c r="L148">
        <f t="shared" si="30"/>
        <v>-0.16906016515143563</v>
      </c>
      <c r="M148">
        <f t="shared" si="31"/>
        <v>0.16906016515143563</v>
      </c>
      <c r="N148">
        <f t="shared" si="32"/>
        <v>1.0032521106013298E-4</v>
      </c>
      <c r="O148">
        <f t="shared" si="33"/>
        <v>1.0032521106013298E-4</v>
      </c>
      <c r="AD148">
        <f t="shared" si="34"/>
        <v>2.7247020150401882E-2</v>
      </c>
    </row>
    <row r="149" spans="1:30" x14ac:dyDescent="0.2">
      <c r="A149" s="2">
        <v>50905</v>
      </c>
      <c r="B149" s="3">
        <v>21.534246575342465</v>
      </c>
      <c r="C149">
        <v>4.2500000000000003E-2</v>
      </c>
      <c r="D149">
        <v>127.8882597826087</v>
      </c>
      <c r="E149">
        <v>2.6629999999999997E-2</v>
      </c>
      <c r="G149" s="2">
        <f t="shared" si="26"/>
        <v>42870</v>
      </c>
      <c r="H149" s="2">
        <f t="shared" si="27"/>
        <v>43054</v>
      </c>
      <c r="I149">
        <f t="shared" si="28"/>
        <v>2.0210597826086958</v>
      </c>
      <c r="J149" s="1">
        <f>IFERROR(getBondPrice3($A$1,A149,C149,100,$W$3,$W$4,$W$5,$W$6,$W$7,$W$8,$W$9,$W$10, $W$13,$W$14,$W$15,$W$16), 100000)</f>
        <v>127.98127420225643</v>
      </c>
      <c r="K149" s="1">
        <f t="shared" si="29"/>
        <v>2.6583157204391365E-2</v>
      </c>
      <c r="L149">
        <f t="shared" si="30"/>
        <v>9.3014419647730051E-2</v>
      </c>
      <c r="M149">
        <f t="shared" si="31"/>
        <v>9.3014419647730051E-2</v>
      </c>
      <c r="N149">
        <f t="shared" si="32"/>
        <v>-4.6842795608632859E-5</v>
      </c>
      <c r="O149">
        <f t="shared" si="33"/>
        <v>4.6842795608632859E-5</v>
      </c>
      <c r="AD149">
        <f t="shared" si="34"/>
        <v>2.7290416625017137E-2</v>
      </c>
    </row>
    <row r="150" spans="1:30" x14ac:dyDescent="0.2">
      <c r="A150" s="2">
        <v>50997</v>
      </c>
      <c r="B150" s="3">
        <v>21.786301369863015</v>
      </c>
      <c r="C150">
        <v>4.4999999999999998E-2</v>
      </c>
      <c r="D150">
        <v>131.10874565217389</v>
      </c>
      <c r="E150">
        <v>2.6690000000000002E-2</v>
      </c>
      <c r="G150" s="2">
        <f t="shared" si="26"/>
        <v>42962</v>
      </c>
      <c r="H150" s="2">
        <f t="shared" si="27"/>
        <v>43146</v>
      </c>
      <c r="I150">
        <f t="shared" si="28"/>
        <v>1.0149456521739131</v>
      </c>
      <c r="J150" s="1">
        <f>IFERROR(getBondPrice3($A$1,A150,C150,100,$W$3,$W$4,$W$5,$W$6,$W$7,$W$8,$W$9,$W$10, $W$13,$W$14,$W$15,$W$16), 100000)</f>
        <v>131.29347712488934</v>
      </c>
      <c r="K150" s="1">
        <f t="shared" si="29"/>
        <v>2.6590583039450843E-2</v>
      </c>
      <c r="L150">
        <f t="shared" si="30"/>
        <v>0.18473147271544121</v>
      </c>
      <c r="M150">
        <f t="shared" si="31"/>
        <v>0.18473147271544121</v>
      </c>
      <c r="N150">
        <f t="shared" si="32"/>
        <v>-9.941696054915905E-5</v>
      </c>
      <c r="O150">
        <f t="shared" si="33"/>
        <v>9.941696054915905E-5</v>
      </c>
      <c r="AD150">
        <f t="shared" si="34"/>
        <v>2.7335980300536983E-2</v>
      </c>
    </row>
    <row r="151" spans="1:30" x14ac:dyDescent="0.2">
      <c r="A151" s="2">
        <v>51089</v>
      </c>
      <c r="B151" s="3">
        <v>22.038356164383561</v>
      </c>
      <c r="C151">
        <v>4.3749999999999997E-2</v>
      </c>
      <c r="D151">
        <v>130.12740271739131</v>
      </c>
      <c r="E151">
        <v>2.681E-2</v>
      </c>
      <c r="G151" s="2">
        <f t="shared" si="26"/>
        <v>42870</v>
      </c>
      <c r="H151" s="2">
        <f t="shared" si="27"/>
        <v>43054</v>
      </c>
      <c r="I151">
        <f t="shared" si="28"/>
        <v>2.0805027173913042</v>
      </c>
      <c r="J151" s="1">
        <f>IFERROR(getBondPrice3($A$1,A151,C151,100,$W$3,$W$4,$W$5,$W$6,$W$7,$W$8,$W$9,$W$10, $W$13,$W$14,$W$15,$W$16), 100000)</f>
        <v>130.43753289356249</v>
      </c>
      <c r="K151" s="1">
        <f t="shared" si="29"/>
        <v>2.6645772934844471E-2</v>
      </c>
      <c r="L151">
        <f t="shared" si="30"/>
        <v>0.31013017617118521</v>
      </c>
      <c r="M151">
        <f t="shared" si="31"/>
        <v>0.31013017617118521</v>
      </c>
      <c r="N151">
        <f t="shared" si="32"/>
        <v>-1.6422706515552971E-4</v>
      </c>
      <c r="O151">
        <f t="shared" si="33"/>
        <v>1.6422706515552971E-4</v>
      </c>
      <c r="AD151">
        <f t="shared" si="34"/>
        <v>2.7382384220137983E-2</v>
      </c>
    </row>
    <row r="152" spans="1:30" x14ac:dyDescent="0.2">
      <c r="A152" s="2">
        <v>51181</v>
      </c>
      <c r="B152" s="3">
        <v>22.290410958904111</v>
      </c>
      <c r="C152">
        <v>4.6249999999999999E-2</v>
      </c>
      <c r="D152">
        <v>133.44943858695652</v>
      </c>
      <c r="E152">
        <v>2.683E-2</v>
      </c>
      <c r="G152" s="2">
        <f t="shared" si="26"/>
        <v>42962</v>
      </c>
      <c r="H152" s="2">
        <f t="shared" si="27"/>
        <v>43146</v>
      </c>
      <c r="I152">
        <f t="shared" si="28"/>
        <v>1.0431385869565217</v>
      </c>
      <c r="J152" s="1">
        <f>IFERROR(getBondPrice3($A$1,A152,C152,100,$W$3,$W$4,$W$5,$W$6,$W$7,$W$8,$W$9,$W$10, $W$13,$W$14,$W$15,$W$16), 100000)</f>
        <v>133.79598269280336</v>
      </c>
      <c r="K152" s="1">
        <f t="shared" si="29"/>
        <v>2.665415226949043E-2</v>
      </c>
      <c r="L152">
        <f t="shared" si="30"/>
        <v>0.3465441058468457</v>
      </c>
      <c r="M152">
        <f t="shared" si="31"/>
        <v>0.3465441058468457</v>
      </c>
      <c r="N152">
        <f t="shared" si="32"/>
        <v>-1.7584773050956931E-4</v>
      </c>
      <c r="O152">
        <f t="shared" si="33"/>
        <v>1.7584773050956931E-4</v>
      </c>
      <c r="AD152">
        <f t="shared" si="34"/>
        <v>2.7429753918912274E-2</v>
      </c>
    </row>
    <row r="153" spans="1:30" x14ac:dyDescent="0.2">
      <c r="A153" s="2">
        <v>51271</v>
      </c>
      <c r="B153" s="3">
        <v>22.536986301369861</v>
      </c>
      <c r="C153">
        <v>4.3749999999999997E-2</v>
      </c>
      <c r="D153">
        <v>130.3071027173913</v>
      </c>
      <c r="E153">
        <v>2.6949999999999998E-2</v>
      </c>
      <c r="G153" s="2">
        <f t="shared" si="26"/>
        <v>42870</v>
      </c>
      <c r="H153" s="2">
        <f t="shared" si="27"/>
        <v>43054</v>
      </c>
      <c r="I153">
        <f t="shared" si="28"/>
        <v>2.0805027173913042</v>
      </c>
      <c r="J153" s="1">
        <f>IFERROR(getBondPrice3($A$1,A153,C153,100,$W$3,$W$4,$W$5,$W$6,$W$7,$W$8,$W$9,$W$10, $W$13,$W$14,$W$15,$W$16), 100000)</f>
        <v>130.75840355562215</v>
      </c>
      <c r="K153" s="1">
        <f t="shared" si="29"/>
        <v>2.6721663867771618E-2</v>
      </c>
      <c r="L153">
        <f t="shared" si="30"/>
        <v>0.45130083823084988</v>
      </c>
      <c r="M153">
        <f t="shared" si="31"/>
        <v>0.45130083823084988</v>
      </c>
      <c r="N153">
        <f t="shared" si="32"/>
        <v>-2.2833613222838015E-4</v>
      </c>
      <c r="O153">
        <f t="shared" si="33"/>
        <v>2.2833613222838015E-4</v>
      </c>
      <c r="AD153">
        <f t="shared" si="34"/>
        <v>2.7477148947202663E-2</v>
      </c>
    </row>
    <row r="154" spans="1:30" x14ac:dyDescent="0.2">
      <c r="A154" s="2">
        <v>51363</v>
      </c>
      <c r="B154" s="3">
        <v>22.789041095890411</v>
      </c>
      <c r="C154">
        <v>3.875E-2</v>
      </c>
      <c r="D154">
        <v>120.56148097826087</v>
      </c>
      <c r="E154">
        <v>2.7109999999999999E-2</v>
      </c>
      <c r="G154" s="2">
        <f t="shared" si="26"/>
        <v>42962</v>
      </c>
      <c r="H154" s="2">
        <f t="shared" si="27"/>
        <v>43146</v>
      </c>
      <c r="I154">
        <f t="shared" si="28"/>
        <v>0.87398097826086951</v>
      </c>
      <c r="J154" s="1">
        <f>IFERROR(getBondPrice3($A$1,A154,C154,100,$W$3,$W$4,$W$5,$W$6,$W$7,$W$8,$W$9,$W$10, $W$13,$W$14,$W$15,$W$16), 100000)</f>
        <v>121.07731693948085</v>
      </c>
      <c r="K154" s="1">
        <f t="shared" si="29"/>
        <v>2.6834367579231903E-2</v>
      </c>
      <c r="L154">
        <f t="shared" si="30"/>
        <v>0.51583596121997743</v>
      </c>
      <c r="M154">
        <f t="shared" si="31"/>
        <v>0.51583596121997743</v>
      </c>
      <c r="N154">
        <f t="shared" si="32"/>
        <v>-2.7563242076809533E-4</v>
      </c>
      <c r="O154">
        <f t="shared" si="33"/>
        <v>2.7563242076809533E-4</v>
      </c>
      <c r="AD154">
        <f t="shared" si="34"/>
        <v>2.752679902150441E-2</v>
      </c>
    </row>
    <row r="155" spans="1:30" x14ac:dyDescent="0.2">
      <c r="A155" s="2">
        <v>51455</v>
      </c>
      <c r="B155" s="3">
        <v>23.041095890410958</v>
      </c>
      <c r="C155">
        <v>4.2500000000000003E-2</v>
      </c>
      <c r="D155">
        <v>128.26325978260869</v>
      </c>
      <c r="E155">
        <v>2.7099999999999999E-2</v>
      </c>
      <c r="G155" s="2">
        <f t="shared" si="26"/>
        <v>42870</v>
      </c>
      <c r="H155" s="2">
        <f t="shared" si="27"/>
        <v>43054</v>
      </c>
      <c r="I155">
        <f t="shared" si="28"/>
        <v>2.0210597826086958</v>
      </c>
      <c r="J155" s="1">
        <f>IFERROR(getBondPrice3($A$1,A155,C155,100,$W$3,$W$4,$W$5,$W$6,$W$7,$W$8,$W$9,$W$10, $W$13,$W$14,$W$15,$W$16), 100000)</f>
        <v>128.82269544813514</v>
      </c>
      <c r="K155" s="1">
        <f t="shared" si="29"/>
        <v>2.6821693326199707E-2</v>
      </c>
      <c r="L155">
        <f t="shared" si="30"/>
        <v>0.55943566552645052</v>
      </c>
      <c r="M155">
        <f t="shared" si="31"/>
        <v>0.55943566552645052</v>
      </c>
      <c r="N155">
        <f t="shared" si="32"/>
        <v>-2.7830667380029234E-4</v>
      </c>
      <c r="O155">
        <f t="shared" si="33"/>
        <v>2.7830667380029234E-4</v>
      </c>
      <c r="AD155">
        <f t="shared" si="34"/>
        <v>2.7577788751232065E-2</v>
      </c>
    </row>
    <row r="156" spans="1:30" x14ac:dyDescent="0.2">
      <c r="A156" s="2">
        <v>51547</v>
      </c>
      <c r="B156" s="3">
        <v>23.293150684931508</v>
      </c>
      <c r="C156">
        <v>4.7500000000000001E-2</v>
      </c>
      <c r="D156">
        <v>136.20413152173913</v>
      </c>
      <c r="E156">
        <v>2.7060000000000001E-2</v>
      </c>
      <c r="G156" s="2">
        <f t="shared" si="26"/>
        <v>42962</v>
      </c>
      <c r="H156" s="2">
        <f t="shared" si="27"/>
        <v>43146</v>
      </c>
      <c r="I156">
        <f t="shared" si="28"/>
        <v>1.0713315217391304</v>
      </c>
      <c r="J156" s="1">
        <f>IFERROR(getBondPrice3($A$1,A156,C156,100,$W$3,$W$4,$W$5,$W$6,$W$7,$W$8,$W$9,$W$10, $W$13,$W$14,$W$15,$W$16), 100000)</f>
        <v>136.74383664227713</v>
      </c>
      <c r="K156" s="1">
        <f t="shared" si="29"/>
        <v>2.679815635688133E-2</v>
      </c>
      <c r="L156">
        <f t="shared" si="30"/>
        <v>0.53970512053800235</v>
      </c>
      <c r="M156">
        <f t="shared" si="31"/>
        <v>0.53970512053800235</v>
      </c>
      <c r="N156">
        <f t="shared" si="32"/>
        <v>-2.6184364311867062E-4</v>
      </c>
      <c r="O156">
        <f t="shared" si="33"/>
        <v>2.6184364311867062E-4</v>
      </c>
      <c r="AD156">
        <f t="shared" si="34"/>
        <v>2.7630243671477768E-2</v>
      </c>
    </row>
    <row r="157" spans="1:30" x14ac:dyDescent="0.2">
      <c r="A157" s="2">
        <v>51636</v>
      </c>
      <c r="B157" s="3">
        <v>23.536986301369861</v>
      </c>
      <c r="C157">
        <v>4.3749999999999997E-2</v>
      </c>
      <c r="D157">
        <v>130.7446027173913</v>
      </c>
      <c r="E157">
        <v>2.7179999999999999E-2</v>
      </c>
      <c r="G157" s="2">
        <f t="shared" si="26"/>
        <v>42870</v>
      </c>
      <c r="H157" s="2">
        <f t="shared" si="27"/>
        <v>43054</v>
      </c>
      <c r="I157">
        <f t="shared" si="28"/>
        <v>2.0805027173913042</v>
      </c>
      <c r="J157" s="1">
        <f>IFERROR(getBondPrice3($A$1,A157,C157,100,$W$3,$W$4,$W$5,$W$6,$W$7,$W$8,$W$9,$W$10, $W$13,$W$14,$W$15,$W$16), 100000)</f>
        <v>131.34571433167915</v>
      </c>
      <c r="K157" s="1">
        <f t="shared" si="29"/>
        <v>2.6882997485826472E-2</v>
      </c>
      <c r="L157">
        <f t="shared" si="30"/>
        <v>0.60111161428784499</v>
      </c>
      <c r="M157">
        <f t="shared" si="31"/>
        <v>0.60111161428784499</v>
      </c>
      <c r="N157">
        <f t="shared" si="32"/>
        <v>-2.9700251417352774E-4</v>
      </c>
      <c r="O157">
        <f t="shared" si="33"/>
        <v>2.9700251417352774E-4</v>
      </c>
      <c r="AD157">
        <f t="shared" si="34"/>
        <v>2.7682500570808802E-2</v>
      </c>
    </row>
    <row r="158" spans="1:30" x14ac:dyDescent="0.2">
      <c r="A158" s="2">
        <v>51728</v>
      </c>
      <c r="B158" s="3">
        <v>23.789041095890411</v>
      </c>
      <c r="C158">
        <v>3.7499999999999999E-2</v>
      </c>
      <c r="D158">
        <v>118.56458804347827</v>
      </c>
      <c r="E158">
        <v>2.7320000000000001E-2</v>
      </c>
      <c r="G158" s="2">
        <f t="shared" si="26"/>
        <v>42962</v>
      </c>
      <c r="H158" s="2">
        <f t="shared" si="27"/>
        <v>43146</v>
      </c>
      <c r="I158">
        <f t="shared" si="28"/>
        <v>0.84578804347826086</v>
      </c>
      <c r="J158" s="1">
        <f>IFERROR(getBondPrice3($A$1,A158,C158,100,$W$3,$W$4,$W$5,$W$6,$W$7,$W$8,$W$9,$W$10, $W$13,$W$14,$W$15,$W$16), 100000)</f>
        <v>119.13803764188521</v>
      </c>
      <c r="K158" s="1">
        <f t="shared" si="29"/>
        <v>2.7019955437852055E-2</v>
      </c>
      <c r="L158">
        <f t="shared" si="30"/>
        <v>0.57344959840693832</v>
      </c>
      <c r="M158">
        <f t="shared" si="31"/>
        <v>0.57344959840693832</v>
      </c>
      <c r="N158">
        <f t="shared" si="32"/>
        <v>-3.0004456214794556E-4</v>
      </c>
      <c r="O158">
        <f t="shared" si="33"/>
        <v>3.0004456214794556E-4</v>
      </c>
      <c r="AD158">
        <f t="shared" si="34"/>
        <v>2.7738204532318678E-2</v>
      </c>
    </row>
    <row r="159" spans="1:30" x14ac:dyDescent="0.2">
      <c r="A159" s="2">
        <v>51820</v>
      </c>
      <c r="B159" s="3">
        <v>24.041095890410958</v>
      </c>
      <c r="C159">
        <v>3.125E-2</v>
      </c>
      <c r="D159">
        <v>108.05637336956522</v>
      </c>
      <c r="E159">
        <v>2.75E-2</v>
      </c>
      <c r="G159" s="2">
        <f t="shared" si="26"/>
        <v>42870</v>
      </c>
      <c r="H159" s="2">
        <f t="shared" si="27"/>
        <v>43054</v>
      </c>
      <c r="I159">
        <f t="shared" si="28"/>
        <v>1.4860733695652173</v>
      </c>
      <c r="J159" s="1">
        <f>IFERROR(getBondPrice3($A$1,A159,C159,100,$W$3,$W$4,$W$5,$W$6,$W$7,$W$8,$W$9,$W$10, $W$13,$W$14,$W$15,$W$16), 100000)</f>
        <v>108.64954744299575</v>
      </c>
      <c r="K159" s="1">
        <f t="shared" si="29"/>
        <v>2.7170175629263646E-2</v>
      </c>
      <c r="L159">
        <f t="shared" si="30"/>
        <v>0.59317407343053219</v>
      </c>
      <c r="M159">
        <f t="shared" si="31"/>
        <v>0.59317407343053219</v>
      </c>
      <c r="N159">
        <f t="shared" si="32"/>
        <v>-3.2982437073635421E-4</v>
      </c>
      <c r="O159">
        <f t="shared" si="33"/>
        <v>3.2982437073635421E-4</v>
      </c>
      <c r="AD159">
        <f t="shared" si="34"/>
        <v>2.7795746196087337E-2</v>
      </c>
    </row>
    <row r="160" spans="1:30" x14ac:dyDescent="0.2">
      <c r="A160" s="2">
        <v>51912</v>
      </c>
      <c r="B160" s="3">
        <v>24.293150684931508</v>
      </c>
      <c r="C160">
        <v>3.125E-2</v>
      </c>
      <c r="D160">
        <v>107.22822336956521</v>
      </c>
      <c r="E160">
        <v>2.7549999999999998E-2</v>
      </c>
      <c r="G160" s="2">
        <f t="shared" si="26"/>
        <v>42962</v>
      </c>
      <c r="H160" s="2">
        <f t="shared" si="27"/>
        <v>43146</v>
      </c>
      <c r="I160">
        <f t="shared" si="28"/>
        <v>0.70482336956521741</v>
      </c>
      <c r="J160" s="1">
        <f>IFERROR(getBondPrice3($A$1,A160,C160,100,$W$3,$W$4,$W$5,$W$6,$W$7,$W$8,$W$9,$W$10, $W$13,$W$14,$W$15,$W$16), 100000)</f>
        <v>107.82873820035671</v>
      </c>
      <c r="K160" s="1">
        <f t="shared" si="29"/>
        <v>2.7219036102819508E-2</v>
      </c>
      <c r="L160">
        <f t="shared" si="30"/>
        <v>0.60051483079149648</v>
      </c>
      <c r="M160">
        <f t="shared" si="31"/>
        <v>0.60051483079149648</v>
      </c>
      <c r="N160">
        <f t="shared" si="32"/>
        <v>-3.3096389718048971E-4</v>
      </c>
      <c r="O160">
        <f t="shared" si="33"/>
        <v>3.3096389718048971E-4</v>
      </c>
      <c r="AD160">
        <f t="shared" si="34"/>
        <v>2.7855251097206921E-2</v>
      </c>
    </row>
    <row r="161" spans="1:30" x14ac:dyDescent="0.2">
      <c r="A161" s="2">
        <v>52001</v>
      </c>
      <c r="B161" s="3">
        <v>24.536986301369861</v>
      </c>
      <c r="C161">
        <v>0.03</v>
      </c>
      <c r="D161">
        <v>105.69223043478262</v>
      </c>
      <c r="E161">
        <v>2.759E-2</v>
      </c>
      <c r="G161" s="2">
        <f t="shared" si="26"/>
        <v>42870</v>
      </c>
      <c r="H161" s="2">
        <f t="shared" si="27"/>
        <v>43054</v>
      </c>
      <c r="I161">
        <f t="shared" si="28"/>
        <v>1.4266304347826086</v>
      </c>
      <c r="J161" s="1">
        <f>IFERROR(getBondPrice3($A$1,A161,C161,100,$W$3,$W$4,$W$5,$W$6,$W$7,$W$8,$W$9,$W$10, $W$13,$W$14,$W$15,$W$16), 100000)</f>
        <v>106.26098406176868</v>
      </c>
      <c r="K161" s="1">
        <f t="shared" si="29"/>
        <v>2.7283086383212776E-2</v>
      </c>
      <c r="L161">
        <f t="shared" si="30"/>
        <v>0.5687536269860658</v>
      </c>
      <c r="M161">
        <f t="shared" si="31"/>
        <v>0.5687536269860658</v>
      </c>
      <c r="N161">
        <f t="shared" si="32"/>
        <v>-3.069136167872244E-4</v>
      </c>
      <c r="O161">
        <f t="shared" si="33"/>
        <v>3.069136167872244E-4</v>
      </c>
      <c r="AD161">
        <f t="shared" si="34"/>
        <v>2.7914802037371012E-2</v>
      </c>
    </row>
    <row r="162" spans="1:30" x14ac:dyDescent="0.2">
      <c r="A162" s="2">
        <v>52093</v>
      </c>
      <c r="B162" s="3">
        <v>24.789041095890411</v>
      </c>
      <c r="C162">
        <v>2.75E-2</v>
      </c>
      <c r="D162">
        <v>100.23744456521739</v>
      </c>
      <c r="E162">
        <v>2.7709999999999999E-2</v>
      </c>
      <c r="G162" s="2">
        <f t="shared" si="26"/>
        <v>42962</v>
      </c>
      <c r="H162" s="2">
        <f t="shared" si="27"/>
        <v>43146</v>
      </c>
      <c r="I162">
        <f t="shared" si="28"/>
        <v>0.62024456521739135</v>
      </c>
      <c r="J162" s="1">
        <f>IFERROR(getBondPrice3($A$1,A162,C162,100,$W$3,$W$4,$W$5,$W$6,$W$7,$W$8,$W$9,$W$10, $W$13,$W$14,$W$15,$W$16), 100000)</f>
        <v>100.82578854868979</v>
      </c>
      <c r="K162" s="1">
        <f t="shared" si="29"/>
        <v>2.7383894552399205E-2</v>
      </c>
      <c r="L162">
        <f t="shared" si="30"/>
        <v>0.58834398347239869</v>
      </c>
      <c r="M162">
        <f t="shared" si="31"/>
        <v>0.58834398347239869</v>
      </c>
      <c r="N162">
        <f t="shared" si="32"/>
        <v>-3.2610544760079338E-4</v>
      </c>
      <c r="O162">
        <f t="shared" si="33"/>
        <v>3.2610544760079338E-4</v>
      </c>
      <c r="AD162">
        <f t="shared" si="34"/>
        <v>2.7978535832762955E-2</v>
      </c>
    </row>
    <row r="163" spans="1:30" x14ac:dyDescent="0.2">
      <c r="A163" s="2">
        <v>52185</v>
      </c>
      <c r="B163" s="3">
        <v>25.041095890410958</v>
      </c>
      <c r="C163">
        <v>2.75E-2</v>
      </c>
      <c r="D163">
        <v>100.77654456521739</v>
      </c>
      <c r="E163">
        <v>2.7799999999999998E-2</v>
      </c>
      <c r="G163" s="2">
        <f t="shared" si="26"/>
        <v>42870</v>
      </c>
      <c r="H163" s="2">
        <f t="shared" si="27"/>
        <v>43054</v>
      </c>
      <c r="I163">
        <f t="shared" si="28"/>
        <v>1.3077445652173914</v>
      </c>
      <c r="J163" s="1">
        <f>IFERROR(getBondPrice3($A$1,A163,C163,100,$W$3,$W$4,$W$5,$W$6,$W$7,$W$8,$W$9,$W$10, $W$13,$W$14,$W$15,$W$16), 100000)</f>
        <v>101.42240266610267</v>
      </c>
      <c r="K163" s="1">
        <f t="shared" si="29"/>
        <v>2.7436122867525968E-2</v>
      </c>
      <c r="L163">
        <f t="shared" si="30"/>
        <v>0.64585810088527751</v>
      </c>
      <c r="M163">
        <f t="shared" si="31"/>
        <v>0.64585810088527751</v>
      </c>
      <c r="N163">
        <f t="shared" si="32"/>
        <v>-3.6387713247403031E-4</v>
      </c>
      <c r="O163">
        <f t="shared" si="33"/>
        <v>3.6387713247403031E-4</v>
      </c>
      <c r="AD163">
        <f t="shared" si="34"/>
        <v>2.8044605377246574E-2</v>
      </c>
    </row>
    <row r="164" spans="1:30" x14ac:dyDescent="0.2">
      <c r="A164" s="2">
        <v>52277</v>
      </c>
      <c r="B164" s="3">
        <v>25.293150684931508</v>
      </c>
      <c r="C164">
        <v>3.125E-2</v>
      </c>
      <c r="D164">
        <v>106.97042336956522</v>
      </c>
      <c r="E164">
        <v>2.7779999999999999E-2</v>
      </c>
      <c r="G164" s="2">
        <f t="shared" si="26"/>
        <v>42962</v>
      </c>
      <c r="H164" s="2">
        <f t="shared" si="27"/>
        <v>43146</v>
      </c>
      <c r="I164">
        <f t="shared" si="28"/>
        <v>0.70482336956521741</v>
      </c>
      <c r="J164" s="1">
        <f>IFERROR(getBondPrice3($A$1,A164,C164,100,$W$3,$W$4,$W$5,$W$6,$W$7,$W$8,$W$9,$W$10, $W$13,$W$14,$W$15,$W$16), 100000)</f>
        <v>107.65931467696699</v>
      </c>
      <c r="K164" s="1">
        <f t="shared" si="29"/>
        <v>2.7416313048716098E-2</v>
      </c>
      <c r="L164">
        <f t="shared" si="30"/>
        <v>0.68889130740176086</v>
      </c>
      <c r="M164">
        <f t="shared" si="31"/>
        <v>0.68889130740176086</v>
      </c>
      <c r="N164">
        <f t="shared" si="32"/>
        <v>-3.6368695128390083E-4</v>
      </c>
      <c r="O164">
        <f t="shared" si="33"/>
        <v>3.6368695128390083E-4</v>
      </c>
      <c r="AD164">
        <f t="shared" si="34"/>
        <v>2.8113136205914012E-2</v>
      </c>
    </row>
    <row r="165" spans="1:30" x14ac:dyDescent="0.2">
      <c r="A165" s="2">
        <v>52366</v>
      </c>
      <c r="B165" s="3">
        <v>25.536986301369861</v>
      </c>
      <c r="C165">
        <v>2.8750000000000001E-2</v>
      </c>
      <c r="D165">
        <v>103.00778750000001</v>
      </c>
      <c r="E165">
        <v>2.785E-2</v>
      </c>
      <c r="G165" s="2">
        <f t="shared" si="26"/>
        <v>42870</v>
      </c>
      <c r="H165" s="2">
        <f t="shared" si="27"/>
        <v>43054</v>
      </c>
      <c r="I165">
        <f t="shared" si="28"/>
        <v>1.3671875</v>
      </c>
      <c r="J165" s="1">
        <f>IFERROR(getBondPrice3($A$1,A165,C165,100,$W$3,$W$4,$W$5,$W$6,$W$7,$W$8,$W$9,$W$10, $W$13,$W$14,$W$15,$W$16), 100000)</f>
        <v>103.62507348770934</v>
      </c>
      <c r="K165" s="1">
        <f t="shared" si="29"/>
        <v>2.751266322724007E-2</v>
      </c>
      <c r="L165">
        <f t="shared" si="30"/>
        <v>0.61728598770933729</v>
      </c>
      <c r="M165">
        <f t="shared" si="31"/>
        <v>0.61728598770933729</v>
      </c>
      <c r="N165">
        <f t="shared" si="32"/>
        <v>-3.3733677275992954E-4</v>
      </c>
      <c r="O165">
        <f t="shared" si="33"/>
        <v>3.3733677275992954E-4</v>
      </c>
      <c r="AD165">
        <f t="shared" si="34"/>
        <v>2.8181892700541389E-2</v>
      </c>
    </row>
    <row r="166" spans="1:30" x14ac:dyDescent="0.2">
      <c r="A166" s="2">
        <v>52458</v>
      </c>
      <c r="B166" s="3">
        <v>25.789041095890411</v>
      </c>
      <c r="C166">
        <v>3.6249999999999998E-2</v>
      </c>
      <c r="D166">
        <v>116.36449510869565</v>
      </c>
      <c r="E166">
        <v>2.7759999999999996E-2</v>
      </c>
      <c r="G166" s="2">
        <f t="shared" si="26"/>
        <v>42962</v>
      </c>
      <c r="H166" s="2">
        <f t="shared" si="27"/>
        <v>43146</v>
      </c>
      <c r="I166">
        <f t="shared" si="28"/>
        <v>0.817595108695652</v>
      </c>
      <c r="J166" s="1">
        <f>IFERROR(getBondPrice3($A$1,A166,C166,100,$W$3,$W$4,$W$5,$W$6,$W$7,$W$8,$W$9,$W$10, $W$13,$W$14,$W$15,$W$16), 100000)</f>
        <v>117.04394501860361</v>
      </c>
      <c r="K166" s="1">
        <f t="shared" si="29"/>
        <v>2.7426344355341636E-2</v>
      </c>
      <c r="L166">
        <f t="shared" si="30"/>
        <v>0.67944990990795873</v>
      </c>
      <c r="M166">
        <f t="shared" si="31"/>
        <v>0.67944990990795873</v>
      </c>
      <c r="N166">
        <f t="shared" si="32"/>
        <v>-3.3365564465836009E-4</v>
      </c>
      <c r="O166">
        <f t="shared" si="33"/>
        <v>3.3365564465836009E-4</v>
      </c>
      <c r="AD166">
        <f t="shared" si="34"/>
        <v>2.8255632276489362E-2</v>
      </c>
    </row>
    <row r="167" spans="1:30" x14ac:dyDescent="0.2">
      <c r="A167" s="2">
        <v>52550</v>
      </c>
      <c r="B167" s="3">
        <v>26.041095890410958</v>
      </c>
      <c r="C167">
        <v>3.7499999999999999E-2</v>
      </c>
      <c r="D167">
        <v>119.78328804347827</v>
      </c>
      <c r="E167">
        <v>2.7740000000000001E-2</v>
      </c>
      <c r="G167" s="2">
        <f t="shared" si="26"/>
        <v>42870</v>
      </c>
      <c r="H167" s="2">
        <f t="shared" si="27"/>
        <v>43054</v>
      </c>
      <c r="I167">
        <f t="shared" si="28"/>
        <v>1.783288043478261</v>
      </c>
      <c r="J167" s="1">
        <f>IFERROR(getBondPrice3($A$1,A167,C167,100,$W$3,$W$4,$W$5,$W$6,$W$7,$W$8,$W$9,$W$10, $W$13,$W$14,$W$15,$W$16), 100000)</f>
        <v>120.3663823546654</v>
      </c>
      <c r="K167" s="1">
        <f t="shared" si="29"/>
        <v>2.7459428655161894E-2</v>
      </c>
      <c r="L167">
        <f t="shared" si="30"/>
        <v>0.58309431118713917</v>
      </c>
      <c r="M167">
        <f t="shared" si="31"/>
        <v>0.58309431118713917</v>
      </c>
      <c r="N167">
        <f t="shared" si="32"/>
        <v>-2.8057134483810628E-4</v>
      </c>
      <c r="O167">
        <f t="shared" si="33"/>
        <v>2.8057134483810628E-4</v>
      </c>
      <c r="AD167">
        <f t="shared" si="34"/>
        <v>2.8332205648361898E-2</v>
      </c>
    </row>
    <row r="168" spans="1:30" x14ac:dyDescent="0.2">
      <c r="A168" s="2">
        <v>52642</v>
      </c>
      <c r="B168" s="3">
        <v>26.293150684931508</v>
      </c>
      <c r="C168">
        <v>3.6249999999999998E-2</v>
      </c>
      <c r="D168">
        <v>116.54419510869566</v>
      </c>
      <c r="E168">
        <v>2.7779999999999999E-2</v>
      </c>
      <c r="G168" s="2">
        <f t="shared" si="26"/>
        <v>42962</v>
      </c>
      <c r="H168" s="2">
        <f t="shared" si="27"/>
        <v>43146</v>
      </c>
      <c r="I168">
        <f t="shared" si="28"/>
        <v>0.817595108695652</v>
      </c>
      <c r="J168" s="1">
        <f>IFERROR(getBondPrice3($A$1,A168,C168,100,$W$3,$W$4,$W$5,$W$6,$W$7,$W$8,$W$9,$W$10, $W$13,$W$14,$W$15,$W$16), 100000)</f>
        <v>117.02533426197407</v>
      </c>
      <c r="K168" s="1">
        <f t="shared" si="29"/>
        <v>2.7540450452231857E-2</v>
      </c>
      <c r="L168">
        <f t="shared" si="30"/>
        <v>0.48113915327840573</v>
      </c>
      <c r="M168">
        <f t="shared" si="31"/>
        <v>0.48113915327840573</v>
      </c>
      <c r="N168">
        <f t="shared" si="32"/>
        <v>-2.3954954776814197E-4</v>
      </c>
      <c r="O168">
        <f t="shared" si="33"/>
        <v>2.3954954776814197E-4</v>
      </c>
      <c r="AD168">
        <f t="shared" si="34"/>
        <v>2.8411738351251124E-2</v>
      </c>
    </row>
    <row r="169" spans="1:30" x14ac:dyDescent="0.2">
      <c r="A169" s="2">
        <v>52732</v>
      </c>
      <c r="B169" s="3">
        <v>26.539726027397261</v>
      </c>
      <c r="C169">
        <v>3.3750000000000002E-2</v>
      </c>
      <c r="D169">
        <v>112.63625923913044</v>
      </c>
      <c r="E169">
        <v>2.7839999999999997E-2</v>
      </c>
      <c r="G169" s="2">
        <f t="shared" si="26"/>
        <v>42870</v>
      </c>
      <c r="H169" s="2">
        <f t="shared" si="27"/>
        <v>43054</v>
      </c>
      <c r="I169">
        <f t="shared" si="28"/>
        <v>1.6049592391304348</v>
      </c>
      <c r="J169" s="1">
        <f>IFERROR(getBondPrice3($A$1,A169,C169,100,$W$3,$W$4,$W$5,$W$6,$W$7,$W$8,$W$9,$W$10, $W$13,$W$14,$W$15,$W$16), 100000)</f>
        <v>113.03264885637371</v>
      </c>
      <c r="K169" s="1">
        <f t="shared" si="29"/>
        <v>2.7642203510190849E-2</v>
      </c>
      <c r="L169">
        <f t="shared" si="30"/>
        <v>0.3963896172432726</v>
      </c>
      <c r="M169">
        <f t="shared" si="31"/>
        <v>0.3963896172432726</v>
      </c>
      <c r="N169">
        <f t="shared" si="32"/>
        <v>-1.9779648980914818E-4</v>
      </c>
      <c r="O169">
        <f t="shared" si="33"/>
        <v>1.9779648980914818E-4</v>
      </c>
      <c r="AD169">
        <f t="shared" si="34"/>
        <v>2.8492526203699069E-2</v>
      </c>
    </row>
    <row r="170" spans="1:30" x14ac:dyDescent="0.2">
      <c r="A170" s="2">
        <v>52824</v>
      </c>
      <c r="B170" s="3">
        <v>26.791780821917808</v>
      </c>
      <c r="C170">
        <v>3.125E-2</v>
      </c>
      <c r="D170">
        <v>106.98612336956522</v>
      </c>
      <c r="E170">
        <v>2.7900000000000001E-2</v>
      </c>
      <c r="G170" s="2">
        <f t="shared" si="26"/>
        <v>42962</v>
      </c>
      <c r="H170" s="2">
        <f t="shared" si="27"/>
        <v>43146</v>
      </c>
      <c r="I170">
        <f t="shared" si="28"/>
        <v>0.70482336956521741</v>
      </c>
      <c r="J170" s="1">
        <f>IFERROR(getBondPrice3($A$1,A170,C170,100,$W$3,$W$4,$W$5,$W$6,$W$7,$W$8,$W$9,$W$10, $W$13,$W$14,$W$15,$W$16), 100000)</f>
        <v>107.27085010677365</v>
      </c>
      <c r="K170" s="1">
        <f t="shared" si="29"/>
        <v>2.7756903299319274E-2</v>
      </c>
      <c r="L170">
        <f t="shared" si="30"/>
        <v>0.28472673720843034</v>
      </c>
      <c r="M170">
        <f t="shared" si="31"/>
        <v>0.28472673720843034</v>
      </c>
      <c r="N170">
        <f t="shared" si="32"/>
        <v>-1.4309670068072752E-4</v>
      </c>
      <c r="O170">
        <f t="shared" si="33"/>
        <v>1.4309670068072752E-4</v>
      </c>
      <c r="AD170">
        <f t="shared" si="34"/>
        <v>2.8578283047719047E-2</v>
      </c>
    </row>
    <row r="171" spans="1:30" x14ac:dyDescent="0.2">
      <c r="A171" s="2">
        <v>52916</v>
      </c>
      <c r="B171" s="3">
        <v>27.043835616438358</v>
      </c>
      <c r="C171">
        <v>0.03</v>
      </c>
      <c r="D171">
        <v>105.30943043478261</v>
      </c>
      <c r="E171">
        <v>2.794E-2</v>
      </c>
      <c r="G171" s="2">
        <f t="shared" si="26"/>
        <v>42870</v>
      </c>
      <c r="H171" s="2">
        <f t="shared" si="27"/>
        <v>43054</v>
      </c>
      <c r="I171">
        <f t="shared" si="28"/>
        <v>1.4266304347826086</v>
      </c>
      <c r="J171" s="1">
        <f>IFERROR(getBondPrice3($A$1,A171,C171,100,$W$3,$W$4,$W$5,$W$6,$W$7,$W$8,$W$9,$W$10, $W$13,$W$14,$W$15,$W$16), 100000)</f>
        <v>105.49271658975029</v>
      </c>
      <c r="K171" s="1">
        <f t="shared" si="29"/>
        <v>2.7848644421853624E-2</v>
      </c>
      <c r="L171">
        <f t="shared" si="30"/>
        <v>0.18328615496767497</v>
      </c>
      <c r="M171">
        <f t="shared" si="31"/>
        <v>0.18328615496767497</v>
      </c>
      <c r="N171">
        <f t="shared" si="32"/>
        <v>-9.1355578146375821E-5</v>
      </c>
      <c r="O171">
        <f t="shared" si="33"/>
        <v>9.1355578146375821E-5</v>
      </c>
      <c r="AD171">
        <f t="shared" si="34"/>
        <v>2.8667373099008353E-2</v>
      </c>
    </row>
    <row r="172" spans="1:30" x14ac:dyDescent="0.2">
      <c r="A172" s="2">
        <v>53008</v>
      </c>
      <c r="B172" s="3">
        <v>27.295890410958904</v>
      </c>
      <c r="C172">
        <v>2.5000000000000001E-2</v>
      </c>
      <c r="D172">
        <v>94.673258695652166</v>
      </c>
      <c r="E172">
        <v>2.811E-2</v>
      </c>
      <c r="G172" s="2">
        <f t="shared" si="26"/>
        <v>42962</v>
      </c>
      <c r="H172" s="2">
        <f t="shared" si="27"/>
        <v>43146</v>
      </c>
      <c r="I172">
        <f t="shared" si="28"/>
        <v>0.56385869565217395</v>
      </c>
      <c r="J172" s="1">
        <f>IFERROR(getBondPrice3($A$1,A172,C172,100,$W$3,$W$4,$W$5,$W$6,$W$7,$W$8,$W$9,$W$10, $W$13,$W$14,$W$15,$W$16), 100000)</f>
        <v>94.795483976110205</v>
      </c>
      <c r="K172" s="1">
        <f t="shared" si="29"/>
        <v>2.8038665960876188E-2</v>
      </c>
      <c r="L172">
        <f t="shared" si="30"/>
        <v>0.12222528045803926</v>
      </c>
      <c r="M172">
        <f t="shared" si="31"/>
        <v>0.12222528045803926</v>
      </c>
      <c r="N172">
        <f t="shared" si="32"/>
        <v>-7.1334039123811116E-5</v>
      </c>
      <c r="O172">
        <f t="shared" si="33"/>
        <v>7.1334039123811116E-5</v>
      </c>
      <c r="AD172">
        <f t="shared" si="34"/>
        <v>2.8759921892659124E-2</v>
      </c>
    </row>
    <row r="173" spans="1:30" x14ac:dyDescent="0.2">
      <c r="A173" s="2">
        <v>53097</v>
      </c>
      <c r="B173" s="3">
        <v>27.539726027397261</v>
      </c>
      <c r="C173">
        <v>0.03</v>
      </c>
      <c r="D173">
        <v>105.21573043478261</v>
      </c>
      <c r="E173">
        <v>2.802E-2</v>
      </c>
      <c r="G173" s="2">
        <f t="shared" si="26"/>
        <v>42870</v>
      </c>
      <c r="H173" s="2">
        <f t="shared" si="27"/>
        <v>43054</v>
      </c>
      <c r="I173">
        <f t="shared" si="28"/>
        <v>1.4266304347826086</v>
      </c>
      <c r="J173" s="1">
        <f>IFERROR(getBondPrice3($A$1,A173,C173,100,$W$3,$W$4,$W$5,$W$6,$W$7,$W$8,$W$9,$W$10, $W$13,$W$14,$W$15,$W$16), 100000)</f>
        <v>105.288876198636</v>
      </c>
      <c r="K173" s="1">
        <f t="shared" si="29"/>
        <v>2.7978251251252834E-2</v>
      </c>
      <c r="L173">
        <f t="shared" si="30"/>
        <v>7.3145763853389667E-2</v>
      </c>
      <c r="M173">
        <f t="shared" si="31"/>
        <v>7.3145763853389667E-2</v>
      </c>
      <c r="N173">
        <f t="shared" si="32"/>
        <v>-4.1748748747166137E-5</v>
      </c>
      <c r="O173">
        <f t="shared" si="33"/>
        <v>4.1748748747166137E-5</v>
      </c>
      <c r="AD173">
        <f t="shared" si="34"/>
        <v>2.8852862357534061E-2</v>
      </c>
    </row>
    <row r="174" spans="1:30" x14ac:dyDescent="0.2">
      <c r="A174" s="2">
        <v>53189</v>
      </c>
      <c r="B174" s="3">
        <v>27.791780821917808</v>
      </c>
      <c r="C174">
        <v>2.8750000000000001E-2</v>
      </c>
      <c r="D174">
        <v>101.9297375</v>
      </c>
      <c r="E174">
        <v>2.8079999999999997E-2</v>
      </c>
      <c r="G174" s="2">
        <f t="shared" si="26"/>
        <v>42962</v>
      </c>
      <c r="H174" s="2">
        <f t="shared" si="27"/>
        <v>43146</v>
      </c>
      <c r="I174">
        <f t="shared" si="28"/>
        <v>0.6484375</v>
      </c>
      <c r="J174" s="1">
        <f>IFERROR(getBondPrice3($A$1,A174,C174,100,$W$3,$W$4,$W$5,$W$6,$W$7,$W$8,$W$9,$W$10, $W$13,$W$14,$W$15,$W$16), 100000)</f>
        <v>101.93013023200093</v>
      </c>
      <c r="K174" s="1">
        <f t="shared" si="29"/>
        <v>2.8081053923786778E-2</v>
      </c>
      <c r="L174">
        <f t="shared" si="30"/>
        <v>3.9273200093248306E-4</v>
      </c>
      <c r="M174">
        <f t="shared" si="31"/>
        <v>3.9273200093248306E-4</v>
      </c>
      <c r="N174">
        <f t="shared" si="32"/>
        <v>1.0539237867805695E-6</v>
      </c>
      <c r="O174">
        <f t="shared" si="33"/>
        <v>1.0539237867805695E-6</v>
      </c>
      <c r="AD174">
        <f t="shared" si="34"/>
        <v>2.8952582289010494E-2</v>
      </c>
    </row>
    <row r="175" spans="1:30" x14ac:dyDescent="0.2">
      <c r="A175" s="2">
        <v>53281</v>
      </c>
      <c r="B175" s="3">
        <v>28.043835616438358</v>
      </c>
      <c r="C175">
        <v>0.03</v>
      </c>
      <c r="D175">
        <v>105.10633043478261</v>
      </c>
      <c r="E175">
        <v>2.809E-2</v>
      </c>
      <c r="G175" s="2">
        <f t="shared" si="26"/>
        <v>42870</v>
      </c>
      <c r="H175" s="2">
        <f t="shared" si="27"/>
        <v>43054</v>
      </c>
      <c r="I175">
        <f t="shared" si="28"/>
        <v>1.4266304347826086</v>
      </c>
      <c r="J175" s="1">
        <f>IFERROR(getBondPrice3($A$1,A175,C175,100,$W$3,$W$4,$W$5,$W$6,$W$7,$W$8,$W$9,$W$10, $W$13,$W$14,$W$15,$W$16), 100000)</f>
        <v>105.04751916171274</v>
      </c>
      <c r="K175" s="1">
        <f t="shared" si="29"/>
        <v>2.8123724561907815E-2</v>
      </c>
      <c r="L175">
        <f t="shared" si="30"/>
        <v>-5.8811273069864001E-2</v>
      </c>
      <c r="M175">
        <f t="shared" si="31"/>
        <v>5.8811273069864001E-2</v>
      </c>
      <c r="N175">
        <f t="shared" si="32"/>
        <v>3.3724561907814282E-5</v>
      </c>
      <c r="O175">
        <f t="shared" si="33"/>
        <v>3.3724561907814282E-5</v>
      </c>
      <c r="AD175">
        <f t="shared" si="34"/>
        <v>2.9056133474589164E-2</v>
      </c>
    </row>
    <row r="176" spans="1:30" x14ac:dyDescent="0.2">
      <c r="A176" s="2">
        <v>53373</v>
      </c>
      <c r="B176" s="3">
        <v>28.295890410958904</v>
      </c>
      <c r="C176">
        <v>2.5000000000000001E-2</v>
      </c>
      <c r="D176">
        <v>94.352958695652177</v>
      </c>
      <c r="E176">
        <v>2.8199999999999999E-2</v>
      </c>
      <c r="G176" s="2">
        <f t="shared" si="26"/>
        <v>42962</v>
      </c>
      <c r="H176" s="2">
        <f t="shared" si="27"/>
        <v>43146</v>
      </c>
      <c r="I176">
        <f t="shared" si="28"/>
        <v>0.56385869565217395</v>
      </c>
      <c r="J176" s="1">
        <f>IFERROR(getBondPrice3($A$1,A176,C176,100,$W$3,$W$4,$W$5,$W$6,$W$7,$W$8,$W$9,$W$10, $W$13,$W$14,$W$15,$W$16), 100000)</f>
        <v>94.105757795711568</v>
      </c>
      <c r="K176" s="1">
        <f t="shared" si="29"/>
        <v>2.8334058519605364E-2</v>
      </c>
      <c r="L176">
        <f t="shared" si="30"/>
        <v>-0.24720089994060856</v>
      </c>
      <c r="M176">
        <f t="shared" si="31"/>
        <v>0.24720089994060856</v>
      </c>
      <c r="N176">
        <f t="shared" si="32"/>
        <v>1.3405851960536508E-4</v>
      </c>
      <c r="O176">
        <f t="shared" si="33"/>
        <v>1.3405851960536508E-4</v>
      </c>
      <c r="AD176">
        <f t="shared" si="34"/>
        <v>2.9163641449362166E-2</v>
      </c>
    </row>
    <row r="177" spans="1:30" x14ac:dyDescent="0.2">
      <c r="A177" s="2">
        <v>53462</v>
      </c>
      <c r="B177" s="3">
        <v>28.539726027397261</v>
      </c>
      <c r="C177">
        <v>2.5000000000000001E-2</v>
      </c>
      <c r="D177">
        <v>94.938858695652172</v>
      </c>
      <c r="E177">
        <v>2.8199999999999999E-2</v>
      </c>
      <c r="G177" s="2">
        <f t="shared" si="26"/>
        <v>42870</v>
      </c>
      <c r="H177" s="2">
        <f t="shared" si="27"/>
        <v>43054</v>
      </c>
      <c r="I177">
        <f t="shared" si="28"/>
        <v>1.1888586956521738</v>
      </c>
      <c r="J177" s="1">
        <f>IFERROR(getBondPrice3($A$1,A177,C177,100,$W$3,$W$4,$W$5,$W$6,$W$7,$W$8,$W$9,$W$10, $W$13,$W$14,$W$15,$W$16), 100000)</f>
        <v>94.559449483484883</v>
      </c>
      <c r="K177" s="1">
        <f t="shared" si="29"/>
        <v>2.8406900252529215E-2</v>
      </c>
      <c r="L177">
        <f t="shared" si="30"/>
        <v>-0.37940921216728896</v>
      </c>
      <c r="M177">
        <f t="shared" si="31"/>
        <v>0.37940921216728896</v>
      </c>
      <c r="N177">
        <f t="shared" si="32"/>
        <v>2.0690025252921573E-4</v>
      </c>
      <c r="O177">
        <f t="shared" si="33"/>
        <v>2.0690025252921573E-4</v>
      </c>
      <c r="AD177">
        <f t="shared" si="34"/>
        <v>2.9271527246614741E-2</v>
      </c>
    </row>
    <row r="178" spans="1:30" x14ac:dyDescent="0.2">
      <c r="A178" s="2">
        <v>53554</v>
      </c>
      <c r="B178" s="3">
        <v>28.791780821917808</v>
      </c>
      <c r="C178">
        <v>2.2499999999999999E-2</v>
      </c>
      <c r="D178">
        <v>89.24967282608695</v>
      </c>
      <c r="E178">
        <v>2.8239999999999998E-2</v>
      </c>
      <c r="G178" s="2">
        <f t="shared" si="26"/>
        <v>42962</v>
      </c>
      <c r="H178" s="2">
        <f t="shared" si="27"/>
        <v>43146</v>
      </c>
      <c r="I178">
        <f t="shared" si="28"/>
        <v>0.50747282608695654</v>
      </c>
      <c r="J178" s="1">
        <f>IFERROR(getBondPrice3($A$1,A178,C178,100,$W$3,$W$4,$W$5,$W$6,$W$7,$W$8,$W$9,$W$10, $W$13,$W$14,$W$15,$W$16), 100000)</f>
        <v>88.653184180691383</v>
      </c>
      <c r="K178" s="1">
        <f t="shared" si="29"/>
        <v>2.856925737394151E-2</v>
      </c>
      <c r="L178">
        <f t="shared" si="30"/>
        <v>-0.59648864539556712</v>
      </c>
      <c r="M178">
        <f t="shared" si="31"/>
        <v>0.59648864539556712</v>
      </c>
      <c r="N178">
        <f t="shared" si="32"/>
        <v>3.2925737394151264E-4</v>
      </c>
      <c r="O178">
        <f t="shared" si="33"/>
        <v>3.2925737394151264E-4</v>
      </c>
      <c r="AD178">
        <f t="shared" si="34"/>
        <v>2.9387186212221611E-2</v>
      </c>
    </row>
    <row r="179" spans="1:30" x14ac:dyDescent="0.2">
      <c r="A179" s="2">
        <v>53646</v>
      </c>
      <c r="B179" s="3">
        <v>29.043835616438358</v>
      </c>
      <c r="C179">
        <v>2.8750000000000001E-2</v>
      </c>
      <c r="D179">
        <v>102.5468875</v>
      </c>
      <c r="E179">
        <v>2.8149999999999998E-2</v>
      </c>
      <c r="G179" s="2">
        <f t="shared" si="26"/>
        <v>42870</v>
      </c>
      <c r="H179" s="2">
        <f t="shared" si="27"/>
        <v>43054</v>
      </c>
      <c r="I179">
        <f t="shared" si="28"/>
        <v>1.3671875</v>
      </c>
      <c r="J179" s="1">
        <f>IFERROR(getBondPrice3($A$1,A179,C179,100,$W$3,$W$4,$W$5,$W$6,$W$7,$W$8,$W$9,$W$10, $W$13,$W$14,$W$15,$W$16), 100000)</f>
        <v>101.92122893761356</v>
      </c>
      <c r="K179" s="1">
        <f t="shared" si="29"/>
        <v>2.8467989198571797E-2</v>
      </c>
      <c r="L179">
        <f t="shared" si="30"/>
        <v>-0.62565856238643391</v>
      </c>
      <c r="M179">
        <f t="shared" si="31"/>
        <v>0.62565856238643391</v>
      </c>
      <c r="N179">
        <f t="shared" si="32"/>
        <v>3.1798919857179905E-4</v>
      </c>
      <c r="O179">
        <f t="shared" si="33"/>
        <v>3.1798919857179905E-4</v>
      </c>
      <c r="AD179">
        <f t="shared" si="34"/>
        <v>2.9507174478763564E-2</v>
      </c>
    </row>
    <row r="180" spans="1:30" x14ac:dyDescent="0.2">
      <c r="A180" s="2">
        <v>53738</v>
      </c>
      <c r="B180" s="3">
        <v>29.295890410958904</v>
      </c>
      <c r="C180">
        <v>0.03</v>
      </c>
      <c r="D180">
        <v>104.36413043478261</v>
      </c>
      <c r="E180">
        <v>2.8140000000000002E-2</v>
      </c>
      <c r="G180" s="2">
        <f t="shared" si="26"/>
        <v>42962</v>
      </c>
      <c r="H180" s="2">
        <f t="shared" si="27"/>
        <v>43146</v>
      </c>
      <c r="I180">
        <f t="shared" si="28"/>
        <v>0.67663043478260865</v>
      </c>
      <c r="J180" s="1">
        <f>IFERROR(getBondPrice3($A$1,A180,C180,100,$W$3,$W$4,$W$5,$W$6,$W$7,$W$8,$W$9,$W$10, $W$13,$W$14,$W$15,$W$16), 100000)</f>
        <v>103.59854649568614</v>
      </c>
      <c r="K180" s="1">
        <f t="shared" si="29"/>
        <v>2.8519874638067183E-2</v>
      </c>
      <c r="L180">
        <f t="shared" si="30"/>
        <v>-0.76558393909647293</v>
      </c>
      <c r="M180">
        <f t="shared" si="31"/>
        <v>0.76558393909647293</v>
      </c>
      <c r="N180">
        <f t="shared" si="32"/>
        <v>3.7987463806718122E-4</v>
      </c>
      <c r="O180">
        <f t="shared" si="33"/>
        <v>3.7987463806718122E-4</v>
      </c>
      <c r="AD180">
        <f t="shared" si="34"/>
        <v>2.9631617581332755E-2</v>
      </c>
    </row>
    <row r="181" spans="1:30" x14ac:dyDescent="0.2">
      <c r="A181" s="2">
        <v>53827</v>
      </c>
      <c r="B181" s="3">
        <v>29.539726027397261</v>
      </c>
      <c r="C181">
        <v>0.03</v>
      </c>
      <c r="D181">
        <v>105.12193043478261</v>
      </c>
      <c r="E181">
        <v>2.8149999999999998E-2</v>
      </c>
      <c r="G181" s="2">
        <f t="shared" si="26"/>
        <v>42870</v>
      </c>
      <c r="H181" s="2">
        <f t="shared" si="27"/>
        <v>43054</v>
      </c>
      <c r="I181">
        <f t="shared" si="28"/>
        <v>1.4266304347826086</v>
      </c>
      <c r="J181" s="1">
        <f>IFERROR(getBondPrice3($A$1,A181,C181,100,$W$3,$W$4,$W$5,$W$6,$W$7,$W$8,$W$9,$W$10, $W$13,$W$14,$W$15,$W$16), 100000)</f>
        <v>104.20675306643921</v>
      </c>
      <c r="K181" s="1">
        <f t="shared" si="29"/>
        <v>2.8598947481105592E-2</v>
      </c>
      <c r="L181">
        <f t="shared" si="30"/>
        <v>-0.91517736834340724</v>
      </c>
      <c r="M181">
        <f t="shared" si="31"/>
        <v>0.91517736834340724</v>
      </c>
      <c r="N181">
        <f t="shared" si="32"/>
        <v>4.4894748110559449E-4</v>
      </c>
      <c r="O181">
        <f t="shared" si="33"/>
        <v>4.4894748110559449E-4</v>
      </c>
      <c r="AD181">
        <f t="shared" si="34"/>
        <v>2.9756360224593211E-2</v>
      </c>
    </row>
    <row r="182" spans="1:30" x14ac:dyDescent="0.2">
      <c r="A182" s="2">
        <v>53919</v>
      </c>
      <c r="B182" s="3">
        <v>29.791780821917808</v>
      </c>
      <c r="C182">
        <v>2.75E-2</v>
      </c>
      <c r="D182">
        <v>99.245244565217391</v>
      </c>
      <c r="E182">
        <v>2.819E-2</v>
      </c>
      <c r="G182" s="2">
        <f t="shared" si="26"/>
        <v>42962</v>
      </c>
      <c r="H182" s="2">
        <f t="shared" si="27"/>
        <v>43146</v>
      </c>
      <c r="I182">
        <f t="shared" si="28"/>
        <v>0.62024456521739135</v>
      </c>
      <c r="J182" s="1">
        <f>IFERROR(getBondPrice3($A$1,A182,C182,100,$W$3,$W$4,$W$5,$W$6,$W$7,$W$8,$W$9,$W$10, $W$13,$W$14,$W$15,$W$16), 100000)</f>
        <v>98.098297375699119</v>
      </c>
      <c r="K182" s="1">
        <f t="shared" si="29"/>
        <v>2.8765396537551391E-2</v>
      </c>
      <c r="L182">
        <f t="shared" si="30"/>
        <v>-1.1469471895182721</v>
      </c>
      <c r="M182">
        <f t="shared" si="31"/>
        <v>1.1469471895182721</v>
      </c>
      <c r="N182">
        <f t="shared" si="32"/>
        <v>5.7539653755139114E-4</v>
      </c>
      <c r="O182">
        <f t="shared" si="33"/>
        <v>5.7539653755139114E-4</v>
      </c>
      <c r="AD182">
        <f t="shared" si="34"/>
        <v>2.9889934171004433E-2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B0F0"/>
  </sheetPr>
  <dimension ref="A1:W182"/>
  <sheetViews>
    <sheetView tabSelected="1" workbookViewId="0"/>
  </sheetViews>
  <sheetFormatPr baseColWidth="10" defaultRowHeight="15" x14ac:dyDescent="0.2"/>
  <sheetData>
    <row r="1" spans="1:23" x14ac:dyDescent="0.2">
      <c r="A1" s="2">
        <v>43045</v>
      </c>
      <c r="F1" s="2"/>
    </row>
    <row r="2" spans="1:23" x14ac:dyDescent="0.2">
      <c r="A2" t="s">
        <v>33</v>
      </c>
      <c r="B2" t="s">
        <v>31</v>
      </c>
      <c r="C2" t="s">
        <v>30</v>
      </c>
      <c r="D2" t="s">
        <v>29</v>
      </c>
      <c r="F2" t="s">
        <v>32</v>
      </c>
      <c r="G2" t="s">
        <v>28</v>
      </c>
      <c r="H2" t="s">
        <v>27</v>
      </c>
      <c r="I2" t="s">
        <v>26</v>
      </c>
      <c r="J2" t="s">
        <v>38</v>
      </c>
      <c r="N2" t="s">
        <v>34</v>
      </c>
      <c r="O2" t="s">
        <v>35</v>
      </c>
      <c r="P2" t="s">
        <v>36</v>
      </c>
      <c r="Q2" t="s">
        <v>37</v>
      </c>
    </row>
    <row r="3" spans="1:23" x14ac:dyDescent="0.2">
      <c r="A3" s="2">
        <v>43235</v>
      </c>
      <c r="B3">
        <v>0.01</v>
      </c>
      <c r="C3">
        <v>100.33494347826087</v>
      </c>
      <c r="D3">
        <v>1.2699999999999999E-2</v>
      </c>
      <c r="F3" s="3">
        <v>0.52054794520547942</v>
      </c>
      <c r="G3" s="2">
        <f t="shared" ref="G3:G34" si="0">COUPPCD($A$1,A3,2,1)</f>
        <v>42870</v>
      </c>
      <c r="H3" s="2">
        <f t="shared" ref="H3:H34" si="1">COUPNCD($A$1,A3,2,1)</f>
        <v>43054</v>
      </c>
      <c r="I3">
        <f t="shared" ref="I3:I66" si="2">100*B3/2*($A$1-G3)/(H3-G3)</f>
        <v>0.47554347826086957</v>
      </c>
      <c r="J3">
        <f>getFWDuration2($A$1,A3,B3,C3,$U$4,$U$5,$U$6,$U$7,$U$8,$U$9,$U$10,$U$11,$U$14,$U$15,$U$16,$U$17)</f>
        <v>0.51828090202338672</v>
      </c>
      <c r="N3" s="2">
        <v>45966</v>
      </c>
      <c r="O3" s="8">
        <v>1000000</v>
      </c>
      <c r="P3" s="7">
        <f t="array" ref="P3:Q3">fwImmunization2(A1,N3,O3,C131,C132,J131,J132,U4,U5,U6,U7,U8,U9,U10,U11,U14,U15,U16,U17)</f>
        <v>7762.9416854643023</v>
      </c>
      <c r="Q3" s="7">
        <v>1034.4912441405995</v>
      </c>
      <c r="V3" t="s">
        <v>14</v>
      </c>
      <c r="W3" t="s">
        <v>13</v>
      </c>
    </row>
    <row r="4" spans="1:23" x14ac:dyDescent="0.2">
      <c r="A4" s="2">
        <v>43251</v>
      </c>
      <c r="B4">
        <v>8.7500000000000008E-3</v>
      </c>
      <c r="C4">
        <v>100.12232295081967</v>
      </c>
      <c r="D4">
        <v>1.3340000000000001E-2</v>
      </c>
      <c r="F4" s="3">
        <v>0.56438356164383563</v>
      </c>
      <c r="G4" s="2">
        <f t="shared" si="0"/>
        <v>42886</v>
      </c>
      <c r="H4" s="2">
        <f t="shared" si="1"/>
        <v>43069</v>
      </c>
      <c r="I4">
        <f t="shared" si="2"/>
        <v>0.38012295081967223</v>
      </c>
      <c r="J4">
        <f t="shared" ref="J4:J67" si="3">getFWDuration2($A$1,A4,B4,C4,$U$4,$U$5,$U$6,$U$7,$U$8,$U$9,$U$10,$U$11,$U$14,$U$15,$U$16,$U$17)</f>
        <v>0.56258032833831439</v>
      </c>
      <c r="T4" t="s">
        <v>11</v>
      </c>
      <c r="U4" s="5">
        <v>1.022768994680822E-2</v>
      </c>
      <c r="V4">
        <v>0</v>
      </c>
      <c r="W4">
        <v>0.5</v>
      </c>
    </row>
    <row r="5" spans="1:23" x14ac:dyDescent="0.2">
      <c r="A5" s="2">
        <v>43266</v>
      </c>
      <c r="B5">
        <v>1.125E-2</v>
      </c>
      <c r="C5">
        <v>100.30202295081966</v>
      </c>
      <c r="D5">
        <v>1.3580000000000002E-2</v>
      </c>
      <c r="F5" s="3">
        <v>0.60547945205479448</v>
      </c>
      <c r="G5" s="2">
        <f t="shared" si="0"/>
        <v>42901</v>
      </c>
      <c r="H5" s="2">
        <f t="shared" si="1"/>
        <v>43084</v>
      </c>
      <c r="I5">
        <f t="shared" si="2"/>
        <v>0.44262295081967212</v>
      </c>
      <c r="J5">
        <f t="shared" si="3"/>
        <v>0.60315365995527837</v>
      </c>
      <c r="R5" s="4"/>
      <c r="T5" t="s">
        <v>10</v>
      </c>
      <c r="U5" s="5">
        <v>3.4241673191793931E-3</v>
      </c>
      <c r="V5">
        <v>-0.1</v>
      </c>
      <c r="W5">
        <v>1</v>
      </c>
    </row>
    <row r="6" spans="1:23" x14ac:dyDescent="0.2">
      <c r="A6" s="2">
        <v>43281</v>
      </c>
      <c r="B6">
        <v>6.2500000000000003E-3</v>
      </c>
      <c r="C6">
        <v>99.742489673913042</v>
      </c>
      <c r="D6">
        <v>1.3640000000000001E-2</v>
      </c>
      <c r="F6" s="3">
        <v>0.64657534246575343</v>
      </c>
      <c r="G6" s="2">
        <f t="shared" si="0"/>
        <v>42916</v>
      </c>
      <c r="H6" s="2">
        <f t="shared" si="1"/>
        <v>43100</v>
      </c>
      <c r="I6">
        <f t="shared" si="2"/>
        <v>0.21908967391304349</v>
      </c>
      <c r="J6">
        <f t="shared" si="3"/>
        <v>0.64554284725531108</v>
      </c>
      <c r="R6" s="4"/>
      <c r="T6" t="s">
        <v>9</v>
      </c>
      <c r="U6" s="5">
        <v>2.9887129333511583E-5</v>
      </c>
      <c r="V6">
        <v>-0.1</v>
      </c>
      <c r="W6">
        <v>0.1</v>
      </c>
    </row>
    <row r="7" spans="1:23" x14ac:dyDescent="0.2">
      <c r="A7" s="2">
        <v>43296</v>
      </c>
      <c r="B7">
        <v>8.7500000000000008E-3</v>
      </c>
      <c r="C7">
        <v>99.911659782608709</v>
      </c>
      <c r="D7">
        <v>1.3999999999999999E-2</v>
      </c>
      <c r="F7" s="3">
        <v>0.68767123287671228</v>
      </c>
      <c r="G7" s="2">
        <f t="shared" si="0"/>
        <v>42931</v>
      </c>
      <c r="H7" s="2">
        <f t="shared" si="1"/>
        <v>43115</v>
      </c>
      <c r="I7">
        <f t="shared" si="2"/>
        <v>0.27105978260869568</v>
      </c>
      <c r="J7">
        <f t="shared" si="3"/>
        <v>0.68618854477401792</v>
      </c>
      <c r="R7" s="4"/>
      <c r="T7" t="s">
        <v>8</v>
      </c>
      <c r="U7" s="5">
        <v>-1.4559169364262777E-4</v>
      </c>
      <c r="V7">
        <v>-0.1</v>
      </c>
      <c r="W7">
        <v>0.1</v>
      </c>
    </row>
    <row r="8" spans="1:23" x14ac:dyDescent="0.2">
      <c r="A8" s="2">
        <v>43312</v>
      </c>
      <c r="B8">
        <v>7.4999999999999997E-3</v>
      </c>
      <c r="C8">
        <v>99.715328260869569</v>
      </c>
      <c r="D8">
        <v>1.4159999999999999E-2</v>
      </c>
      <c r="F8" s="3">
        <v>0.73150684931506849</v>
      </c>
      <c r="G8" s="2">
        <f t="shared" si="0"/>
        <v>42947</v>
      </c>
      <c r="H8" s="2">
        <f t="shared" si="1"/>
        <v>43131</v>
      </c>
      <c r="I8">
        <f t="shared" si="2"/>
        <v>0.19972826086956522</v>
      </c>
      <c r="J8">
        <f t="shared" si="3"/>
        <v>0.73042541226702928</v>
      </c>
      <c r="R8" s="4"/>
      <c r="T8" t="s">
        <v>7</v>
      </c>
      <c r="U8" s="5">
        <v>2.0518478322012782E-5</v>
      </c>
      <c r="V8">
        <v>-0.1</v>
      </c>
      <c r="W8">
        <v>0.1</v>
      </c>
    </row>
    <row r="9" spans="1:23" x14ac:dyDescent="0.2">
      <c r="A9" s="2">
        <v>43327</v>
      </c>
      <c r="B9">
        <v>0.01</v>
      </c>
      <c r="C9">
        <v>99.897443478260868</v>
      </c>
      <c r="D9">
        <v>1.427E-2</v>
      </c>
      <c r="F9" s="3">
        <v>0.77260273972602744</v>
      </c>
      <c r="G9" s="2">
        <f t="shared" si="0"/>
        <v>42962</v>
      </c>
      <c r="H9" s="2">
        <f t="shared" si="1"/>
        <v>43146</v>
      </c>
      <c r="I9">
        <f t="shared" si="2"/>
        <v>0.22554347826086957</v>
      </c>
      <c r="J9">
        <f t="shared" si="3"/>
        <v>0.7709806630553333</v>
      </c>
      <c r="T9" t="s">
        <v>6</v>
      </c>
      <c r="U9" s="5">
        <v>1.8595008720597768E-5</v>
      </c>
      <c r="V9">
        <v>-0.1</v>
      </c>
      <c r="W9">
        <v>0.1</v>
      </c>
    </row>
    <row r="10" spans="1:23" x14ac:dyDescent="0.2">
      <c r="A10" s="2">
        <v>43343</v>
      </c>
      <c r="B10">
        <v>7.4999999999999997E-3</v>
      </c>
      <c r="C10">
        <v>99.576312154696126</v>
      </c>
      <c r="D10">
        <v>1.4459999999999999E-2</v>
      </c>
      <c r="F10" s="3">
        <v>0.81643835616438354</v>
      </c>
      <c r="G10" s="2">
        <f t="shared" si="0"/>
        <v>42978</v>
      </c>
      <c r="H10" s="2">
        <f t="shared" si="1"/>
        <v>43159</v>
      </c>
      <c r="I10">
        <f t="shared" si="2"/>
        <v>0.13881215469613259</v>
      </c>
      <c r="J10">
        <f t="shared" si="3"/>
        <v>0.81549415986295881</v>
      </c>
      <c r="T10" t="s">
        <v>5</v>
      </c>
      <c r="U10" s="5">
        <v>-1.5352448178698473E-5</v>
      </c>
      <c r="V10">
        <v>-0.1</v>
      </c>
      <c r="W10">
        <v>0.1</v>
      </c>
    </row>
    <row r="11" spans="1:23" x14ac:dyDescent="0.2">
      <c r="A11" s="2">
        <v>43358</v>
      </c>
      <c r="B11">
        <v>0.01</v>
      </c>
      <c r="C11">
        <v>99.74524640883979</v>
      </c>
      <c r="D11">
        <v>1.47E-2</v>
      </c>
      <c r="F11" s="3">
        <v>0.8575342465753425</v>
      </c>
      <c r="G11" s="2">
        <f t="shared" si="0"/>
        <v>42993</v>
      </c>
      <c r="H11" s="2">
        <f t="shared" si="1"/>
        <v>43174</v>
      </c>
      <c r="I11">
        <f t="shared" si="2"/>
        <v>0.143646408839779</v>
      </c>
      <c r="J11">
        <f t="shared" si="3"/>
        <v>0.85613992914262727</v>
      </c>
      <c r="T11" t="s">
        <v>4</v>
      </c>
      <c r="U11" s="5">
        <v>6.2239655971271893E-6</v>
      </c>
      <c r="V11">
        <v>-0.1</v>
      </c>
      <c r="W11">
        <v>0.1</v>
      </c>
    </row>
    <row r="12" spans="1:23" x14ac:dyDescent="0.2">
      <c r="A12" s="2">
        <v>43373</v>
      </c>
      <c r="B12">
        <v>7.4999999999999997E-3</v>
      </c>
      <c r="C12">
        <v>99.427836263736268</v>
      </c>
      <c r="D12">
        <v>1.4790000000000001E-2</v>
      </c>
      <c r="F12" s="3">
        <v>0.89863013698630134</v>
      </c>
      <c r="G12" s="2">
        <f t="shared" si="0"/>
        <v>43008</v>
      </c>
      <c r="H12" s="2">
        <f t="shared" si="1"/>
        <v>43190</v>
      </c>
      <c r="I12">
        <f t="shared" si="2"/>
        <v>7.6236263736263743E-2</v>
      </c>
      <c r="J12">
        <f t="shared" si="3"/>
        <v>0.8979658704622604</v>
      </c>
    </row>
    <row r="13" spans="1:23" x14ac:dyDescent="0.2">
      <c r="A13" s="2">
        <v>43388</v>
      </c>
      <c r="B13">
        <v>8.7500000000000008E-3</v>
      </c>
      <c r="C13">
        <v>99.48258461538461</v>
      </c>
      <c r="D13">
        <v>1.4879999999999999E-2</v>
      </c>
      <c r="F13" s="3">
        <v>0.9397260273972603</v>
      </c>
      <c r="G13" s="2">
        <f t="shared" si="0"/>
        <v>43023</v>
      </c>
      <c r="H13" s="2">
        <f t="shared" si="1"/>
        <v>43205</v>
      </c>
      <c r="I13">
        <f t="shared" si="2"/>
        <v>5.2884615384615391E-2</v>
      </c>
      <c r="J13">
        <f t="shared" si="3"/>
        <v>0.93883527456000249</v>
      </c>
    </row>
    <row r="14" spans="1:23" x14ac:dyDescent="0.2">
      <c r="A14" s="2">
        <v>43404</v>
      </c>
      <c r="B14">
        <v>7.4999999999999997E-3</v>
      </c>
      <c r="C14">
        <v>99.285830939226514</v>
      </c>
      <c r="D14">
        <v>1.4970000000000001E-2</v>
      </c>
      <c r="F14" s="3">
        <v>0.98356164383561639</v>
      </c>
      <c r="G14" s="2">
        <f t="shared" si="0"/>
        <v>43039</v>
      </c>
      <c r="H14" s="2">
        <f t="shared" si="1"/>
        <v>43220</v>
      </c>
      <c r="I14">
        <f t="shared" si="2"/>
        <v>1.2430939226519336E-2</v>
      </c>
      <c r="J14">
        <f t="shared" si="3"/>
        <v>0.98304970654183166</v>
      </c>
      <c r="T14" t="s">
        <v>3</v>
      </c>
      <c r="U14" s="4">
        <v>1</v>
      </c>
    </row>
    <row r="15" spans="1:23" x14ac:dyDescent="0.2">
      <c r="A15" s="2">
        <v>43419</v>
      </c>
      <c r="B15">
        <v>1.2500000000000001E-2</v>
      </c>
      <c r="C15">
        <v>100.33662934782609</v>
      </c>
      <c r="D15">
        <v>1.504E-2</v>
      </c>
      <c r="F15" s="3">
        <v>1.0246575342465754</v>
      </c>
      <c r="G15" s="2">
        <f t="shared" si="0"/>
        <v>42870</v>
      </c>
      <c r="H15" s="2">
        <f t="shared" si="1"/>
        <v>43054</v>
      </c>
      <c r="I15">
        <f t="shared" si="2"/>
        <v>0.59442934782608692</v>
      </c>
      <c r="J15">
        <f t="shared" si="3"/>
        <v>1.0167461663050057</v>
      </c>
      <c r="T15" t="s">
        <v>2</v>
      </c>
      <c r="U15" s="4">
        <v>5</v>
      </c>
    </row>
    <row r="16" spans="1:23" x14ac:dyDescent="0.2">
      <c r="A16" s="2">
        <v>43434</v>
      </c>
      <c r="B16">
        <v>0.01</v>
      </c>
      <c r="C16">
        <v>99.903226229508192</v>
      </c>
      <c r="D16">
        <v>1.504E-2</v>
      </c>
      <c r="F16" s="3">
        <v>1.0657534246575342</v>
      </c>
      <c r="G16" s="2">
        <f t="shared" si="0"/>
        <v>42886</v>
      </c>
      <c r="H16" s="2">
        <f t="shared" si="1"/>
        <v>43069</v>
      </c>
      <c r="I16">
        <f t="shared" si="2"/>
        <v>0.4344262295081967</v>
      </c>
      <c r="J16">
        <f t="shared" si="3"/>
        <v>1.0596746944095783</v>
      </c>
      <c r="T16" t="s">
        <v>1</v>
      </c>
      <c r="U16" s="4">
        <v>10</v>
      </c>
    </row>
    <row r="17" spans="1:21" x14ac:dyDescent="0.2">
      <c r="A17" s="2">
        <v>43449</v>
      </c>
      <c r="B17">
        <v>1.2500000000000001E-2</v>
      </c>
      <c r="C17">
        <v>100.19490327868853</v>
      </c>
      <c r="D17">
        <v>1.521E-2</v>
      </c>
      <c r="F17" s="3">
        <v>1.106849315068493</v>
      </c>
      <c r="G17" s="2">
        <f t="shared" si="0"/>
        <v>42901</v>
      </c>
      <c r="H17" s="2">
        <f t="shared" si="1"/>
        <v>43084</v>
      </c>
      <c r="I17">
        <f t="shared" si="2"/>
        <v>0.49180327868852458</v>
      </c>
      <c r="J17">
        <f t="shared" si="3"/>
        <v>1.0990958798196002</v>
      </c>
      <c r="T17" t="s">
        <v>0</v>
      </c>
      <c r="U17" s="4">
        <v>15</v>
      </c>
    </row>
    <row r="18" spans="1:21" x14ac:dyDescent="0.2">
      <c r="A18" s="2">
        <v>43465</v>
      </c>
      <c r="B18">
        <v>1.2500000000000001E-2</v>
      </c>
      <c r="C18">
        <v>100.1412793478261</v>
      </c>
      <c r="D18">
        <v>1.5109999999999998E-2</v>
      </c>
      <c r="F18" s="3">
        <v>1.1506849315068493</v>
      </c>
      <c r="G18" s="2">
        <f t="shared" si="0"/>
        <v>42916</v>
      </c>
      <c r="H18" s="2">
        <f t="shared" si="1"/>
        <v>43100</v>
      </c>
      <c r="I18">
        <f t="shared" si="2"/>
        <v>0.43817934782608697</v>
      </c>
      <c r="J18">
        <f t="shared" si="3"/>
        <v>1.1427260084252984</v>
      </c>
    </row>
    <row r="19" spans="1:21" x14ac:dyDescent="0.2">
      <c r="A19" s="2">
        <v>43480</v>
      </c>
      <c r="B19">
        <v>1.125E-2</v>
      </c>
      <c r="C19">
        <v>99.895405434782603</v>
      </c>
      <c r="D19">
        <v>1.5100000000000001E-2</v>
      </c>
      <c r="F19" s="3">
        <v>1.1917808219178083</v>
      </c>
      <c r="G19" s="2">
        <f t="shared" si="0"/>
        <v>42931</v>
      </c>
      <c r="H19" s="2">
        <f t="shared" si="1"/>
        <v>43115</v>
      </c>
      <c r="I19">
        <f t="shared" si="2"/>
        <v>0.3485054347826087</v>
      </c>
      <c r="J19">
        <f t="shared" si="3"/>
        <v>1.1846558740684907</v>
      </c>
    </row>
    <row r="20" spans="1:21" x14ac:dyDescent="0.2">
      <c r="A20" s="2">
        <v>43496</v>
      </c>
      <c r="B20">
        <v>1.125E-2</v>
      </c>
      <c r="C20">
        <v>99.81519239130435</v>
      </c>
      <c r="D20">
        <v>1.5220000000000001E-2</v>
      </c>
      <c r="F20" s="3">
        <v>1.2356164383561643</v>
      </c>
      <c r="G20" s="2">
        <f t="shared" si="0"/>
        <v>42947</v>
      </c>
      <c r="H20" s="2">
        <f t="shared" si="1"/>
        <v>43131</v>
      </c>
      <c r="I20">
        <f t="shared" si="2"/>
        <v>0.29959239130434784</v>
      </c>
      <c r="J20">
        <f t="shared" si="3"/>
        <v>1.2285763004616637</v>
      </c>
    </row>
    <row r="21" spans="1:21" x14ac:dyDescent="0.2">
      <c r="A21" s="2">
        <v>43511</v>
      </c>
      <c r="B21">
        <v>7.4999999999999997E-3</v>
      </c>
      <c r="C21">
        <v>99.184757608695662</v>
      </c>
      <c r="D21">
        <v>1.533E-2</v>
      </c>
      <c r="F21" s="3">
        <v>1.2767123287671234</v>
      </c>
      <c r="G21" s="2">
        <f t="shared" si="0"/>
        <v>42962</v>
      </c>
      <c r="H21" s="2">
        <f t="shared" si="1"/>
        <v>43146</v>
      </c>
      <c r="I21">
        <f t="shared" si="2"/>
        <v>0.16915760869565216</v>
      </c>
      <c r="J21">
        <f t="shared" si="3"/>
        <v>1.2725150910200409</v>
      </c>
    </row>
    <row r="22" spans="1:21" x14ac:dyDescent="0.2">
      <c r="A22" s="2">
        <v>43524</v>
      </c>
      <c r="B22">
        <v>1.125E-2</v>
      </c>
      <c r="C22">
        <v>99.684818232044208</v>
      </c>
      <c r="D22">
        <v>1.528E-2</v>
      </c>
      <c r="F22" s="3">
        <v>1.3123287671232877</v>
      </c>
      <c r="G22" s="2">
        <f t="shared" si="0"/>
        <v>42978</v>
      </c>
      <c r="H22" s="2">
        <f t="shared" si="1"/>
        <v>43159</v>
      </c>
      <c r="I22">
        <f t="shared" si="2"/>
        <v>0.2082182320441989</v>
      </c>
      <c r="J22">
        <f t="shared" si="3"/>
        <v>1.3053315126189229</v>
      </c>
    </row>
    <row r="23" spans="1:21" x14ac:dyDescent="0.2">
      <c r="A23" s="2">
        <v>43539</v>
      </c>
      <c r="B23">
        <v>0.01</v>
      </c>
      <c r="C23">
        <v>99.424946408839787</v>
      </c>
      <c r="D23">
        <v>1.537E-2</v>
      </c>
      <c r="F23" s="3">
        <v>1.3534246575342466</v>
      </c>
      <c r="G23" s="2">
        <f t="shared" si="0"/>
        <v>42993</v>
      </c>
      <c r="H23" s="2">
        <f t="shared" si="1"/>
        <v>43174</v>
      </c>
      <c r="I23">
        <f t="shared" si="2"/>
        <v>0.143646408839779</v>
      </c>
      <c r="J23">
        <f t="shared" si="3"/>
        <v>1.3473926817552091</v>
      </c>
    </row>
    <row r="24" spans="1:21" x14ac:dyDescent="0.2">
      <c r="A24" s="2">
        <v>43555</v>
      </c>
      <c r="B24">
        <v>1.2500000000000001E-2</v>
      </c>
      <c r="C24">
        <v>99.72086043956044</v>
      </c>
      <c r="D24">
        <v>1.5449999999999998E-2</v>
      </c>
      <c r="F24" s="3">
        <v>1.3972602739726028</v>
      </c>
      <c r="G24" s="2">
        <f t="shared" si="0"/>
        <v>43008</v>
      </c>
      <c r="H24" s="2">
        <f t="shared" si="1"/>
        <v>43190</v>
      </c>
      <c r="I24">
        <f t="shared" si="2"/>
        <v>0.12706043956043955</v>
      </c>
      <c r="J24">
        <f t="shared" si="3"/>
        <v>1.3893400531109608</v>
      </c>
    </row>
    <row r="25" spans="1:21" x14ac:dyDescent="0.2">
      <c r="A25" s="2">
        <v>43570</v>
      </c>
      <c r="B25">
        <v>8.7500000000000008E-3</v>
      </c>
      <c r="C25">
        <v>99.091984615384618</v>
      </c>
      <c r="D25">
        <v>1.5529999999999999E-2</v>
      </c>
      <c r="F25" s="3">
        <v>1.4383561643835616</v>
      </c>
      <c r="G25" s="2">
        <f t="shared" si="0"/>
        <v>43023</v>
      </c>
      <c r="H25" s="2">
        <f t="shared" si="1"/>
        <v>43205</v>
      </c>
      <c r="I25">
        <f t="shared" si="2"/>
        <v>5.2884615384615391E-2</v>
      </c>
      <c r="J25">
        <f t="shared" si="3"/>
        <v>1.4332118642598572</v>
      </c>
    </row>
    <row r="26" spans="1:21" x14ac:dyDescent="0.2">
      <c r="A26" s="2">
        <v>43585</v>
      </c>
      <c r="B26">
        <v>1.2500000000000001E-2</v>
      </c>
      <c r="C26">
        <v>99.567618232044197</v>
      </c>
      <c r="D26">
        <v>1.5600000000000001E-2</v>
      </c>
      <c r="F26" s="3">
        <v>1.4794520547945205</v>
      </c>
      <c r="G26" s="2">
        <f t="shared" si="0"/>
        <v>43039</v>
      </c>
      <c r="H26" s="2">
        <f t="shared" si="1"/>
        <v>43220</v>
      </c>
      <c r="I26">
        <f t="shared" si="2"/>
        <v>2.0718232044198894E-2</v>
      </c>
      <c r="J26">
        <f t="shared" si="3"/>
        <v>1.4716373905249853</v>
      </c>
    </row>
    <row r="27" spans="1:21" x14ac:dyDescent="0.2">
      <c r="A27" s="2">
        <v>43600</v>
      </c>
      <c r="B27">
        <v>8.7500000000000008E-3</v>
      </c>
      <c r="C27">
        <v>99.384900543478267</v>
      </c>
      <c r="D27">
        <v>1.562E-2</v>
      </c>
      <c r="F27" s="3">
        <v>1.5205479452054795</v>
      </c>
      <c r="G27" s="2">
        <f t="shared" si="0"/>
        <v>42870</v>
      </c>
      <c r="H27" s="2">
        <f t="shared" si="1"/>
        <v>43054</v>
      </c>
      <c r="I27">
        <f t="shared" si="2"/>
        <v>0.41610054347826092</v>
      </c>
      <c r="J27">
        <f t="shared" si="3"/>
        <v>1.5088003141687014</v>
      </c>
    </row>
    <row r="28" spans="1:21" x14ac:dyDescent="0.2">
      <c r="A28" s="2">
        <v>43616</v>
      </c>
      <c r="B28">
        <v>1.125E-2</v>
      </c>
      <c r="C28">
        <v>99.832529508196728</v>
      </c>
      <c r="D28">
        <v>1.5509999999999999E-2</v>
      </c>
      <c r="F28" s="3">
        <v>1.5643835616438355</v>
      </c>
      <c r="G28" s="2">
        <f t="shared" si="0"/>
        <v>42886</v>
      </c>
      <c r="H28" s="2">
        <f t="shared" si="1"/>
        <v>43069</v>
      </c>
      <c r="I28">
        <f t="shared" si="2"/>
        <v>0.48872950819672129</v>
      </c>
      <c r="J28">
        <f t="shared" si="3"/>
        <v>1.5484080093565598</v>
      </c>
    </row>
    <row r="29" spans="1:21" x14ac:dyDescent="0.2">
      <c r="A29" s="2">
        <v>43631</v>
      </c>
      <c r="B29">
        <v>8.7500000000000008E-3</v>
      </c>
      <c r="C29">
        <v>99.219262295081961</v>
      </c>
      <c r="D29">
        <v>1.5890000000000001E-2</v>
      </c>
      <c r="F29" s="3">
        <v>1.6054794520547946</v>
      </c>
      <c r="G29" s="2">
        <f t="shared" si="0"/>
        <v>42901</v>
      </c>
      <c r="H29" s="2">
        <f t="shared" si="1"/>
        <v>43084</v>
      </c>
      <c r="I29">
        <f t="shared" si="2"/>
        <v>0.34426229508196726</v>
      </c>
      <c r="J29">
        <f t="shared" si="3"/>
        <v>1.5938457950038829</v>
      </c>
    </row>
    <row r="30" spans="1:21" x14ac:dyDescent="0.2">
      <c r="A30" s="2">
        <v>43646</v>
      </c>
      <c r="B30">
        <v>0.01</v>
      </c>
      <c r="C30">
        <v>99.405243478260871</v>
      </c>
      <c r="D30">
        <v>1.583E-2</v>
      </c>
      <c r="F30" s="3">
        <v>1.6465753424657534</v>
      </c>
      <c r="G30" s="2">
        <f t="shared" si="0"/>
        <v>42916</v>
      </c>
      <c r="H30" s="2">
        <f t="shared" si="1"/>
        <v>43100</v>
      </c>
      <c r="I30">
        <f t="shared" si="2"/>
        <v>0.35054347826086957</v>
      </c>
      <c r="J30">
        <f t="shared" si="3"/>
        <v>1.6328612877698288</v>
      </c>
    </row>
    <row r="31" spans="1:21" x14ac:dyDescent="0.2">
      <c r="A31" s="2">
        <v>43661</v>
      </c>
      <c r="B31">
        <v>7.4999999999999997E-3</v>
      </c>
      <c r="C31">
        <v>98.857336956521735</v>
      </c>
      <c r="D31">
        <v>1.5769999999999999E-2</v>
      </c>
      <c r="F31" s="3">
        <v>1.6876712328767123</v>
      </c>
      <c r="G31" s="2">
        <f t="shared" si="0"/>
        <v>42931</v>
      </c>
      <c r="H31" s="2">
        <f t="shared" si="1"/>
        <v>43115</v>
      </c>
      <c r="I31">
        <f t="shared" si="2"/>
        <v>0.23233695652173914</v>
      </c>
      <c r="J31">
        <f t="shared" si="3"/>
        <v>1.6772464170910486</v>
      </c>
    </row>
    <row r="32" spans="1:21" x14ac:dyDescent="0.2">
      <c r="A32" s="2">
        <v>43677</v>
      </c>
      <c r="B32">
        <v>8.7500000000000008E-3</v>
      </c>
      <c r="C32">
        <v>99.022116304347833</v>
      </c>
      <c r="D32">
        <v>1.5859999999999999E-2</v>
      </c>
      <c r="F32" s="3">
        <v>1.7315068493150685</v>
      </c>
      <c r="G32" s="2">
        <f t="shared" si="0"/>
        <v>42947</v>
      </c>
      <c r="H32" s="2">
        <f t="shared" si="1"/>
        <v>43131</v>
      </c>
      <c r="I32">
        <f t="shared" si="2"/>
        <v>0.23301630434782614</v>
      </c>
      <c r="J32">
        <f t="shared" si="3"/>
        <v>1.7191883811282191</v>
      </c>
    </row>
    <row r="33" spans="1:10" x14ac:dyDescent="0.2">
      <c r="A33" s="2">
        <v>43692</v>
      </c>
      <c r="B33">
        <v>7.4999999999999997E-3</v>
      </c>
      <c r="C33">
        <v>98.700457608695658</v>
      </c>
      <c r="D33">
        <v>1.593E-2</v>
      </c>
      <c r="F33" s="3">
        <v>1.7726027397260273</v>
      </c>
      <c r="G33" s="2">
        <f t="shared" si="0"/>
        <v>42962</v>
      </c>
      <c r="H33" s="2">
        <f t="shared" si="1"/>
        <v>43146</v>
      </c>
      <c r="I33">
        <f t="shared" si="2"/>
        <v>0.16915760869565216</v>
      </c>
      <c r="J33">
        <f t="shared" si="3"/>
        <v>1.7620508508513439</v>
      </c>
    </row>
    <row r="34" spans="1:10" x14ac:dyDescent="0.2">
      <c r="A34" s="2">
        <v>43708</v>
      </c>
      <c r="B34">
        <v>0.01</v>
      </c>
      <c r="C34">
        <v>99.099182872928182</v>
      </c>
      <c r="D34">
        <v>1.609E-2</v>
      </c>
      <c r="F34" s="3">
        <v>1.8164383561643835</v>
      </c>
      <c r="G34" s="2">
        <f t="shared" si="0"/>
        <v>42978</v>
      </c>
      <c r="H34" s="2">
        <f t="shared" si="1"/>
        <v>43159</v>
      </c>
      <c r="I34">
        <f t="shared" si="2"/>
        <v>0.18508287292817679</v>
      </c>
      <c r="J34">
        <f t="shared" si="3"/>
        <v>1.8022583390149871</v>
      </c>
    </row>
    <row r="35" spans="1:10" x14ac:dyDescent="0.2">
      <c r="A35" s="2">
        <v>43723</v>
      </c>
      <c r="B35">
        <v>8.7500000000000008E-3</v>
      </c>
      <c r="C35">
        <v>98.781990607734812</v>
      </c>
      <c r="D35">
        <v>1.6129999999999999E-2</v>
      </c>
      <c r="F35" s="3">
        <v>1.8575342465753424</v>
      </c>
      <c r="G35" s="2">
        <f t="shared" ref="G35:G66" si="4">COUPPCD($A$1,A35,2,1)</f>
        <v>42993</v>
      </c>
      <c r="H35" s="2">
        <f t="shared" ref="H35:H66" si="5">COUPNCD($A$1,A35,2,1)</f>
        <v>43174</v>
      </c>
      <c r="I35">
        <f t="shared" si="2"/>
        <v>0.12569060773480664</v>
      </c>
      <c r="J35">
        <f t="shared" si="3"/>
        <v>1.845017508805155</v>
      </c>
    </row>
    <row r="36" spans="1:10" x14ac:dyDescent="0.2">
      <c r="A36" s="2">
        <v>43738</v>
      </c>
      <c r="B36">
        <v>0.01</v>
      </c>
      <c r="C36">
        <v>98.968848351648347</v>
      </c>
      <c r="D36">
        <v>1.6080000000000001E-2</v>
      </c>
      <c r="F36" s="3">
        <v>1.8986301369863015</v>
      </c>
      <c r="G36" s="2">
        <f t="shared" si="4"/>
        <v>43008</v>
      </c>
      <c r="H36" s="2">
        <f t="shared" si="5"/>
        <v>43190</v>
      </c>
      <c r="I36">
        <f t="shared" si="2"/>
        <v>0.10164835164835165</v>
      </c>
      <c r="J36">
        <f t="shared" si="3"/>
        <v>1.8838548057945257</v>
      </c>
    </row>
    <row r="37" spans="1:10" x14ac:dyDescent="0.2">
      <c r="A37" s="2">
        <v>43753</v>
      </c>
      <c r="B37">
        <v>0.01</v>
      </c>
      <c r="C37">
        <v>98.896339560439557</v>
      </c>
      <c r="D37">
        <v>1.6120000000000002E-2</v>
      </c>
      <c r="F37" s="3">
        <v>1.9397260273972603</v>
      </c>
      <c r="G37" s="2">
        <f t="shared" si="4"/>
        <v>43023</v>
      </c>
      <c r="H37" s="2">
        <f t="shared" si="5"/>
        <v>43205</v>
      </c>
      <c r="I37">
        <f t="shared" si="2"/>
        <v>6.043956043956044E-2</v>
      </c>
      <c r="J37">
        <f t="shared" si="3"/>
        <v>1.9247455984894641</v>
      </c>
    </row>
    <row r="38" spans="1:10" x14ac:dyDescent="0.2">
      <c r="A38" s="2">
        <v>43769</v>
      </c>
      <c r="B38">
        <v>1.2500000000000001E-2</v>
      </c>
      <c r="C38">
        <v>99.309818232044208</v>
      </c>
      <c r="D38">
        <v>1.6160000000000001E-2</v>
      </c>
      <c r="F38" s="3">
        <v>1.9835616438356165</v>
      </c>
      <c r="G38" s="2">
        <f t="shared" si="4"/>
        <v>43039</v>
      </c>
      <c r="H38" s="2">
        <f t="shared" si="5"/>
        <v>43220</v>
      </c>
      <c r="I38">
        <f t="shared" si="2"/>
        <v>2.0718232044198894E-2</v>
      </c>
      <c r="J38">
        <f t="shared" si="3"/>
        <v>1.9646479775095715</v>
      </c>
    </row>
    <row r="39" spans="1:10" x14ac:dyDescent="0.2">
      <c r="A39" s="2">
        <v>43784</v>
      </c>
      <c r="B39">
        <v>0.01</v>
      </c>
      <c r="C39">
        <v>99.233343478260878</v>
      </c>
      <c r="D39">
        <v>1.626E-2</v>
      </c>
      <c r="F39" s="3">
        <v>2.0246575342465754</v>
      </c>
      <c r="G39" s="2">
        <f t="shared" si="4"/>
        <v>42870</v>
      </c>
      <c r="H39" s="2">
        <f t="shared" si="5"/>
        <v>43054</v>
      </c>
      <c r="I39">
        <f t="shared" si="2"/>
        <v>0.47554347826086957</v>
      </c>
      <c r="J39">
        <f t="shared" si="3"/>
        <v>1.9994332094512062</v>
      </c>
    </row>
    <row r="40" spans="1:10" x14ac:dyDescent="0.2">
      <c r="A40" s="2">
        <v>43799</v>
      </c>
      <c r="B40">
        <v>0.01</v>
      </c>
      <c r="C40">
        <v>99.161026229508195</v>
      </c>
      <c r="D40">
        <v>1.6289999999999999E-2</v>
      </c>
      <c r="F40" s="3">
        <v>2.0657534246575344</v>
      </c>
      <c r="G40" s="2">
        <f t="shared" si="4"/>
        <v>42886</v>
      </c>
      <c r="H40" s="2">
        <f t="shared" si="5"/>
        <v>43069</v>
      </c>
      <c r="I40">
        <f t="shared" si="2"/>
        <v>0.4344262295081967</v>
      </c>
      <c r="J40">
        <f t="shared" si="3"/>
        <v>2.0402873316626851</v>
      </c>
    </row>
    <row r="41" spans="1:10" x14ac:dyDescent="0.2">
      <c r="A41" s="2">
        <v>43814</v>
      </c>
      <c r="B41">
        <v>1.375E-2</v>
      </c>
      <c r="C41">
        <v>99.986283606557379</v>
      </c>
      <c r="D41">
        <v>1.644E-2</v>
      </c>
      <c r="F41" s="3">
        <v>2.106849315068493</v>
      </c>
      <c r="G41" s="2">
        <f t="shared" si="4"/>
        <v>42901</v>
      </c>
      <c r="H41" s="2">
        <f t="shared" si="5"/>
        <v>43084</v>
      </c>
      <c r="I41">
        <f t="shared" si="2"/>
        <v>0.54098360655737709</v>
      </c>
      <c r="J41">
        <f t="shared" si="3"/>
        <v>2.0725381709421775</v>
      </c>
    </row>
    <row r="42" spans="1:10" x14ac:dyDescent="0.2">
      <c r="A42" s="2">
        <v>43830</v>
      </c>
      <c r="B42">
        <v>1.125E-2</v>
      </c>
      <c r="C42">
        <v>99.308461413043489</v>
      </c>
      <c r="D42">
        <v>1.6410000000000001E-2</v>
      </c>
      <c r="F42" s="3">
        <v>2.1506849315068495</v>
      </c>
      <c r="G42" s="2">
        <f t="shared" si="4"/>
        <v>42916</v>
      </c>
      <c r="H42" s="2">
        <f t="shared" si="5"/>
        <v>43100</v>
      </c>
      <c r="I42">
        <f t="shared" si="2"/>
        <v>0.39436141304347827</v>
      </c>
      <c r="J42">
        <f t="shared" si="3"/>
        <v>2.1217491695260966</v>
      </c>
    </row>
    <row r="43" spans="1:10" x14ac:dyDescent="0.2">
      <c r="A43" s="2">
        <v>43845</v>
      </c>
      <c r="B43">
        <v>1.375E-2</v>
      </c>
      <c r="C43">
        <v>99.824351086956511</v>
      </c>
      <c r="D43">
        <v>1.6559999999999998E-2</v>
      </c>
      <c r="F43" s="3">
        <v>2.1917808219178081</v>
      </c>
      <c r="G43" s="2">
        <f t="shared" si="4"/>
        <v>42931</v>
      </c>
      <c r="H43" s="2">
        <f t="shared" si="5"/>
        <v>43115</v>
      </c>
      <c r="I43">
        <f t="shared" si="2"/>
        <v>0.42595108695652173</v>
      </c>
      <c r="J43">
        <f t="shared" si="3"/>
        <v>2.1570378062436459</v>
      </c>
    </row>
    <row r="44" spans="1:10" x14ac:dyDescent="0.2">
      <c r="A44" s="2">
        <v>43861</v>
      </c>
      <c r="B44">
        <v>1.2500000000000001E-2</v>
      </c>
      <c r="C44">
        <v>99.450080434782606</v>
      </c>
      <c r="D44">
        <v>1.6539999999999999E-2</v>
      </c>
      <c r="F44" s="3">
        <v>2.2356164383561645</v>
      </c>
      <c r="G44" s="2">
        <f t="shared" si="4"/>
        <v>42947</v>
      </c>
      <c r="H44" s="2">
        <f t="shared" si="5"/>
        <v>43131</v>
      </c>
      <c r="I44">
        <f t="shared" si="2"/>
        <v>0.3328804347826087</v>
      </c>
      <c r="J44">
        <f t="shared" si="3"/>
        <v>2.2032957619411979</v>
      </c>
    </row>
    <row r="45" spans="1:10" x14ac:dyDescent="0.2">
      <c r="A45" s="2">
        <v>43876</v>
      </c>
      <c r="B45">
        <v>1.375E-2</v>
      </c>
      <c r="C45">
        <v>99.669522282608696</v>
      </c>
      <c r="D45">
        <v>1.6629999999999999E-2</v>
      </c>
      <c r="F45" s="3">
        <v>2.2767123287671232</v>
      </c>
      <c r="G45" s="2">
        <f t="shared" si="4"/>
        <v>42962</v>
      </c>
      <c r="H45" s="2">
        <f t="shared" si="5"/>
        <v>43146</v>
      </c>
      <c r="I45">
        <f t="shared" si="2"/>
        <v>0.31012228260869568</v>
      </c>
      <c r="J45">
        <f t="shared" si="3"/>
        <v>2.2413442862113584</v>
      </c>
    </row>
    <row r="46" spans="1:10" x14ac:dyDescent="0.2">
      <c r="A46" s="2">
        <v>43890</v>
      </c>
      <c r="B46">
        <v>1.2500000000000001E-2</v>
      </c>
      <c r="C46">
        <v>99.293853591160214</v>
      </c>
      <c r="D46">
        <v>1.6639999999999999E-2</v>
      </c>
      <c r="F46" s="3">
        <v>2.3150684931506849</v>
      </c>
      <c r="G46" s="2">
        <f t="shared" si="4"/>
        <v>42978</v>
      </c>
      <c r="H46" s="2">
        <f t="shared" si="5"/>
        <v>43159</v>
      </c>
      <c r="I46">
        <f t="shared" si="2"/>
        <v>0.231353591160221</v>
      </c>
      <c r="J46">
        <f t="shared" si="3"/>
        <v>2.2824175684360215</v>
      </c>
    </row>
    <row r="47" spans="1:10" x14ac:dyDescent="0.2">
      <c r="A47" s="2">
        <v>43905</v>
      </c>
      <c r="B47">
        <v>1.6250000000000001E-2</v>
      </c>
      <c r="C47">
        <v>100.10062541436464</v>
      </c>
      <c r="D47">
        <v>1.6819999999999998E-2</v>
      </c>
      <c r="F47" s="3">
        <v>2.3561643835616439</v>
      </c>
      <c r="G47" s="2">
        <f t="shared" si="4"/>
        <v>42993</v>
      </c>
      <c r="H47" s="2">
        <f t="shared" si="5"/>
        <v>43174</v>
      </c>
      <c r="I47">
        <f t="shared" si="2"/>
        <v>0.23342541436464087</v>
      </c>
      <c r="J47">
        <f t="shared" si="3"/>
        <v>2.3150558484504851</v>
      </c>
    </row>
    <row r="48" spans="1:10" x14ac:dyDescent="0.2">
      <c r="A48" s="2">
        <v>43921</v>
      </c>
      <c r="B48">
        <v>1.125E-2</v>
      </c>
      <c r="C48">
        <v>98.825254395604389</v>
      </c>
      <c r="D48">
        <v>1.6750000000000001E-2</v>
      </c>
      <c r="F48" s="3">
        <v>2.4</v>
      </c>
      <c r="G48" s="2">
        <f t="shared" si="4"/>
        <v>43008</v>
      </c>
      <c r="H48" s="2">
        <f t="shared" si="5"/>
        <v>43190</v>
      </c>
      <c r="I48">
        <f t="shared" si="2"/>
        <v>0.1143543956043956</v>
      </c>
      <c r="J48">
        <f t="shared" si="3"/>
        <v>2.3697912649948956</v>
      </c>
    </row>
    <row r="49" spans="1:10" x14ac:dyDescent="0.2">
      <c r="A49" s="2">
        <v>43951</v>
      </c>
      <c r="B49">
        <v>1.125E-2</v>
      </c>
      <c r="C49">
        <v>98.651446408839789</v>
      </c>
      <c r="D49">
        <v>1.6890000000000002E-2</v>
      </c>
      <c r="F49" s="3">
        <v>2.4821917808219176</v>
      </c>
      <c r="G49" s="2">
        <f t="shared" si="4"/>
        <v>43039</v>
      </c>
      <c r="H49" s="2">
        <f t="shared" si="5"/>
        <v>43220</v>
      </c>
      <c r="I49">
        <f t="shared" si="2"/>
        <v>1.8646408839779006E-2</v>
      </c>
      <c r="J49">
        <f t="shared" si="3"/>
        <v>2.4518266481189106</v>
      </c>
    </row>
    <row r="50" spans="1:10" x14ac:dyDescent="0.2">
      <c r="A50" s="2">
        <v>43966</v>
      </c>
      <c r="B50">
        <v>1.4999999999999999E-2</v>
      </c>
      <c r="C50">
        <v>100.2289152173913</v>
      </c>
      <c r="D50">
        <v>1.6969999999999999E-2</v>
      </c>
      <c r="F50" s="3">
        <v>2.5232876712328767</v>
      </c>
      <c r="G50" s="2">
        <f t="shared" si="4"/>
        <v>42870</v>
      </c>
      <c r="H50" s="2">
        <f t="shared" si="5"/>
        <v>43054</v>
      </c>
      <c r="I50">
        <f t="shared" si="2"/>
        <v>0.71331521739130432</v>
      </c>
      <c r="J50">
        <f t="shared" si="3"/>
        <v>2.4654259325356263</v>
      </c>
    </row>
    <row r="51" spans="1:10" x14ac:dyDescent="0.2">
      <c r="A51" s="2">
        <v>43982</v>
      </c>
      <c r="B51">
        <v>1.375E-2</v>
      </c>
      <c r="C51">
        <v>99.800436065573777</v>
      </c>
      <c r="D51">
        <v>1.694E-2</v>
      </c>
      <c r="F51" s="3">
        <v>2.5671232876712327</v>
      </c>
      <c r="G51" s="2">
        <f t="shared" si="4"/>
        <v>42886</v>
      </c>
      <c r="H51" s="2">
        <f t="shared" si="5"/>
        <v>43069</v>
      </c>
      <c r="I51">
        <f t="shared" si="2"/>
        <v>0.5973360655737705</v>
      </c>
      <c r="J51">
        <f t="shared" si="3"/>
        <v>2.5126870782953108</v>
      </c>
    </row>
    <row r="52" spans="1:10" x14ac:dyDescent="0.2">
      <c r="A52" s="2">
        <v>43997</v>
      </c>
      <c r="B52">
        <v>1.4999999999999999E-2</v>
      </c>
      <c r="C52">
        <v>100.07456393442622</v>
      </c>
      <c r="D52">
        <v>1.703E-2</v>
      </c>
      <c r="F52" s="3">
        <v>2.6082191780821917</v>
      </c>
      <c r="G52" s="2">
        <f t="shared" si="4"/>
        <v>42901</v>
      </c>
      <c r="H52" s="2">
        <f t="shared" si="5"/>
        <v>43084</v>
      </c>
      <c r="I52">
        <f t="shared" si="2"/>
        <v>0.5901639344262295</v>
      </c>
      <c r="J52">
        <f t="shared" si="3"/>
        <v>2.5493293821310754</v>
      </c>
    </row>
    <row r="53" spans="1:10" x14ac:dyDescent="0.2">
      <c r="A53" s="2">
        <v>44012</v>
      </c>
      <c r="B53">
        <v>1.6250000000000001E-2</v>
      </c>
      <c r="C53">
        <v>100.3430331521739</v>
      </c>
      <c r="D53">
        <v>1.7129999999999999E-2</v>
      </c>
      <c r="F53" s="3">
        <v>2.6493150684931508</v>
      </c>
      <c r="G53" s="2">
        <f t="shared" si="4"/>
        <v>42916</v>
      </c>
      <c r="H53" s="2">
        <f t="shared" si="5"/>
        <v>43100</v>
      </c>
      <c r="I53">
        <f t="shared" si="2"/>
        <v>0.56963315217391308</v>
      </c>
      <c r="J53">
        <f t="shared" si="3"/>
        <v>2.5861917847632894</v>
      </c>
    </row>
    <row r="54" spans="1:10" x14ac:dyDescent="0.2">
      <c r="A54" s="2">
        <v>44027</v>
      </c>
      <c r="B54">
        <v>1.4999999999999999E-2</v>
      </c>
      <c r="C54">
        <v>99.902173913043484</v>
      </c>
      <c r="D54">
        <v>1.7150000000000002E-2</v>
      </c>
      <c r="F54" s="3">
        <v>2.6904109589041094</v>
      </c>
      <c r="G54" s="2">
        <f t="shared" si="4"/>
        <v>42931</v>
      </c>
      <c r="H54" s="2">
        <f t="shared" si="5"/>
        <v>43115</v>
      </c>
      <c r="I54">
        <f t="shared" si="2"/>
        <v>0.46467391304347827</v>
      </c>
      <c r="J54">
        <f t="shared" si="3"/>
        <v>2.6311607786196265</v>
      </c>
    </row>
    <row r="55" spans="1:10" x14ac:dyDescent="0.2">
      <c r="A55" s="2">
        <v>44043</v>
      </c>
      <c r="B55">
        <v>1.6250000000000001E-2</v>
      </c>
      <c r="C55">
        <v>100.17494456521739</v>
      </c>
      <c r="D55">
        <v>1.7219999999999999E-2</v>
      </c>
      <c r="F55" s="3">
        <v>2.7342465753424658</v>
      </c>
      <c r="G55" s="2">
        <f t="shared" si="4"/>
        <v>42947</v>
      </c>
      <c r="H55" s="2">
        <f t="shared" si="5"/>
        <v>43131</v>
      </c>
      <c r="I55">
        <f t="shared" si="2"/>
        <v>0.4327445652173913</v>
      </c>
      <c r="J55">
        <f t="shared" si="3"/>
        <v>2.6703916385925472</v>
      </c>
    </row>
    <row r="56" spans="1:10" x14ac:dyDescent="0.2">
      <c r="A56" s="2">
        <v>44058</v>
      </c>
      <c r="B56">
        <v>1.4999999999999999E-2</v>
      </c>
      <c r="C56">
        <v>99.752415217391302</v>
      </c>
      <c r="D56">
        <v>1.7170000000000001E-2</v>
      </c>
      <c r="F56" s="3">
        <v>2.7753424657534245</v>
      </c>
      <c r="G56" s="2">
        <f t="shared" si="4"/>
        <v>42962</v>
      </c>
      <c r="H56" s="2">
        <f t="shared" si="5"/>
        <v>43146</v>
      </c>
      <c r="I56">
        <f t="shared" si="2"/>
        <v>0.33831521739130432</v>
      </c>
      <c r="J56">
        <f t="shared" si="3"/>
        <v>2.7148355015154966</v>
      </c>
    </row>
    <row r="57" spans="1:10" x14ac:dyDescent="0.2">
      <c r="A57" s="2">
        <v>44074</v>
      </c>
      <c r="B57">
        <v>1.375E-2</v>
      </c>
      <c r="C57">
        <v>99.285788950276242</v>
      </c>
      <c r="D57">
        <v>1.729E-2</v>
      </c>
      <c r="F57" s="3">
        <v>2.8191780821917809</v>
      </c>
      <c r="G57" s="2">
        <f t="shared" si="4"/>
        <v>42978</v>
      </c>
      <c r="H57" s="2">
        <f t="shared" si="5"/>
        <v>43159</v>
      </c>
      <c r="I57">
        <f t="shared" si="2"/>
        <v>0.25448895027624308</v>
      </c>
      <c r="J57">
        <f t="shared" si="3"/>
        <v>2.7629232752440487</v>
      </c>
    </row>
    <row r="58" spans="1:10" x14ac:dyDescent="0.2">
      <c r="A58" s="2">
        <v>44089</v>
      </c>
      <c r="B58">
        <v>1.375E-2</v>
      </c>
      <c r="C58">
        <v>99.236613812154701</v>
      </c>
      <c r="D58">
        <v>1.721E-2</v>
      </c>
      <c r="F58" s="3">
        <v>2.8602739726027395</v>
      </c>
      <c r="G58" s="2">
        <f t="shared" si="4"/>
        <v>42993</v>
      </c>
      <c r="H58" s="2">
        <f t="shared" si="5"/>
        <v>43174</v>
      </c>
      <c r="I58">
        <f t="shared" si="2"/>
        <v>0.19751381215469613</v>
      </c>
      <c r="J58">
        <f t="shared" si="3"/>
        <v>2.8027066866838322</v>
      </c>
    </row>
    <row r="59" spans="1:10" x14ac:dyDescent="0.2">
      <c r="A59" s="2">
        <v>44104</v>
      </c>
      <c r="B59">
        <v>1.375E-2</v>
      </c>
      <c r="C59">
        <v>99.108566483516483</v>
      </c>
      <c r="D59">
        <v>1.7410000000000002E-2</v>
      </c>
      <c r="F59" s="3">
        <v>2.9013698630136986</v>
      </c>
      <c r="G59" s="2">
        <f t="shared" si="4"/>
        <v>43008</v>
      </c>
      <c r="H59" s="2">
        <f t="shared" si="5"/>
        <v>43190</v>
      </c>
      <c r="I59">
        <f t="shared" si="2"/>
        <v>0.13976648351648352</v>
      </c>
      <c r="J59">
        <f t="shared" si="3"/>
        <v>2.8447628523154624</v>
      </c>
    </row>
    <row r="60" spans="1:10" x14ac:dyDescent="0.2">
      <c r="A60" s="2">
        <v>44119</v>
      </c>
      <c r="B60">
        <v>1.6250000000000001E-2</v>
      </c>
      <c r="C60">
        <v>99.801314285714298</v>
      </c>
      <c r="D60">
        <v>1.729E-2</v>
      </c>
      <c r="F60" s="3">
        <v>2.9424657534246577</v>
      </c>
      <c r="G60" s="2">
        <f t="shared" si="4"/>
        <v>43023</v>
      </c>
      <c r="H60" s="2">
        <f t="shared" si="5"/>
        <v>43205</v>
      </c>
      <c r="I60">
        <f t="shared" si="2"/>
        <v>9.8214285714285712E-2</v>
      </c>
      <c r="J60">
        <f t="shared" si="3"/>
        <v>2.875302269131411</v>
      </c>
    </row>
    <row r="61" spans="1:10" x14ac:dyDescent="0.2">
      <c r="A61" s="2">
        <v>44135</v>
      </c>
      <c r="B61">
        <v>1.375E-2</v>
      </c>
      <c r="C61">
        <v>98.936890055248625</v>
      </c>
      <c r="D61">
        <v>1.7500000000000002E-2</v>
      </c>
      <c r="F61" s="3">
        <v>2.9863013698630136</v>
      </c>
      <c r="G61" s="2">
        <f t="shared" si="4"/>
        <v>43039</v>
      </c>
      <c r="H61" s="2">
        <f t="shared" si="5"/>
        <v>43220</v>
      </c>
      <c r="I61">
        <f t="shared" si="2"/>
        <v>2.2790055248618785E-2</v>
      </c>
      <c r="J61">
        <f t="shared" si="3"/>
        <v>2.9288392230399132</v>
      </c>
    </row>
    <row r="62" spans="1:10" x14ac:dyDescent="0.2">
      <c r="A62" s="2">
        <v>44150</v>
      </c>
      <c r="B62">
        <v>2.6249999999999999E-2</v>
      </c>
      <c r="C62">
        <v>103.77960163043478</v>
      </c>
      <c r="D62">
        <v>1.762E-2</v>
      </c>
      <c r="F62" s="3">
        <v>3.0273972602739727</v>
      </c>
      <c r="G62" s="2">
        <f t="shared" si="4"/>
        <v>42870</v>
      </c>
      <c r="H62" s="2">
        <f t="shared" si="5"/>
        <v>43054</v>
      </c>
      <c r="I62">
        <f t="shared" si="2"/>
        <v>1.2483016304347827</v>
      </c>
      <c r="J62">
        <f t="shared" si="3"/>
        <v>2.8906424692332799</v>
      </c>
    </row>
    <row r="63" spans="1:10" x14ac:dyDescent="0.2">
      <c r="A63" s="2">
        <v>44165</v>
      </c>
      <c r="B63">
        <v>1.6250000000000001E-2</v>
      </c>
      <c r="C63">
        <v>100.26844262295081</v>
      </c>
      <c r="D63">
        <v>1.772E-2</v>
      </c>
      <c r="F63" s="3">
        <v>3.0684931506849313</v>
      </c>
      <c r="G63" s="2">
        <f t="shared" si="4"/>
        <v>42886</v>
      </c>
      <c r="H63" s="2">
        <f t="shared" si="5"/>
        <v>43069</v>
      </c>
      <c r="I63">
        <f t="shared" si="2"/>
        <v>0.70594262295081966</v>
      </c>
      <c r="J63">
        <f t="shared" si="3"/>
        <v>2.9788984895598487</v>
      </c>
    </row>
    <row r="64" spans="1:10" x14ac:dyDescent="0.2">
      <c r="A64" s="2">
        <v>44196</v>
      </c>
      <c r="B64">
        <v>1.7500000000000002E-2</v>
      </c>
      <c r="C64">
        <v>100.50405108695652</v>
      </c>
      <c r="D64">
        <v>1.7860000000000001E-2</v>
      </c>
      <c r="F64" s="3">
        <v>3.1534246575342464</v>
      </c>
      <c r="G64" s="2">
        <f t="shared" si="4"/>
        <v>42916</v>
      </c>
      <c r="H64" s="2">
        <f t="shared" si="5"/>
        <v>43100</v>
      </c>
      <c r="I64">
        <f t="shared" si="2"/>
        <v>0.61345108695652184</v>
      </c>
      <c r="J64">
        <f t="shared" si="3"/>
        <v>3.0573092832098596</v>
      </c>
    </row>
    <row r="65" spans="1:10" x14ac:dyDescent="0.2">
      <c r="A65" s="2">
        <v>44227</v>
      </c>
      <c r="B65">
        <v>1.375E-2</v>
      </c>
      <c r="C65">
        <v>99.038068478260868</v>
      </c>
      <c r="D65">
        <v>1.7989999999999999E-2</v>
      </c>
      <c r="F65" s="3">
        <v>3.2383561643835614</v>
      </c>
      <c r="G65" s="2">
        <f t="shared" si="4"/>
        <v>42947</v>
      </c>
      <c r="H65" s="2">
        <f t="shared" si="5"/>
        <v>43131</v>
      </c>
      <c r="I65">
        <f t="shared" si="2"/>
        <v>0.36616847826086957</v>
      </c>
      <c r="J65">
        <f t="shared" si="3"/>
        <v>3.1601807520796137</v>
      </c>
    </row>
    <row r="66" spans="1:10" x14ac:dyDescent="0.2">
      <c r="A66" s="2">
        <v>44242</v>
      </c>
      <c r="B66">
        <v>3.6249999999999998E-2</v>
      </c>
      <c r="C66">
        <v>106.65349510869565</v>
      </c>
      <c r="D66">
        <v>1.7819999999999999E-2</v>
      </c>
      <c r="F66" s="3">
        <v>3.2794520547945205</v>
      </c>
      <c r="G66" s="2">
        <f t="shared" si="4"/>
        <v>42962</v>
      </c>
      <c r="H66" s="2">
        <f t="shared" si="5"/>
        <v>43146</v>
      </c>
      <c r="I66">
        <f t="shared" si="2"/>
        <v>0.817595108695652</v>
      </c>
      <c r="J66">
        <f t="shared" si="3"/>
        <v>3.0956644302216509</v>
      </c>
    </row>
    <row r="67" spans="1:10" x14ac:dyDescent="0.2">
      <c r="A67" s="2">
        <v>44255</v>
      </c>
      <c r="B67">
        <v>1.125E-2</v>
      </c>
      <c r="C67">
        <v>98.0129182320442</v>
      </c>
      <c r="D67">
        <v>1.8100000000000002E-2</v>
      </c>
      <c r="F67" s="3">
        <v>3.3150684931506849</v>
      </c>
      <c r="G67" s="2">
        <f t="shared" ref="G67:G98" si="6">COUPPCD($A$1,A67,2,1)</f>
        <v>42978</v>
      </c>
      <c r="H67" s="2">
        <f t="shared" ref="H67:H98" si="7">COUPNCD($A$1,A67,2,1)</f>
        <v>43159</v>
      </c>
      <c r="I67">
        <f t="shared" ref="I67:I130" si="8">100*B67/2*($A$1-G67)/(H67-G67)</f>
        <v>0.2082182320441989</v>
      </c>
      <c r="J67">
        <f t="shared" si="3"/>
        <v>3.2493341732452659</v>
      </c>
    </row>
    <row r="68" spans="1:10" x14ac:dyDescent="0.2">
      <c r="A68" s="2">
        <v>44286</v>
      </c>
      <c r="B68">
        <v>1.2500000000000001E-2</v>
      </c>
      <c r="C68">
        <v>98.252060439560438</v>
      </c>
      <c r="D68">
        <v>1.821E-2</v>
      </c>
      <c r="F68" s="3">
        <v>3.4</v>
      </c>
      <c r="G68" s="2">
        <f t="shared" si="6"/>
        <v>43008</v>
      </c>
      <c r="H68" s="2">
        <f t="shared" si="7"/>
        <v>43190</v>
      </c>
      <c r="I68">
        <f t="shared" si="8"/>
        <v>0.12706043956043955</v>
      </c>
      <c r="J68">
        <f t="shared" ref="J68:J131" si="9">getFWDuration2($A$1,A68,B68,C68,$U$4,$U$5,$U$6,$U$7,$U$8,$U$9,$U$10,$U$11,$U$14,$U$15,$U$16,$U$17)</f>
        <v>3.327381850901594</v>
      </c>
    </row>
    <row r="69" spans="1:10" x14ac:dyDescent="0.2">
      <c r="A69" s="2">
        <v>44316</v>
      </c>
      <c r="B69">
        <v>1.375E-2</v>
      </c>
      <c r="C69">
        <v>98.507190055248614</v>
      </c>
      <c r="D69">
        <v>1.8260000000000002E-2</v>
      </c>
      <c r="F69" s="3">
        <v>3.4821917808219176</v>
      </c>
      <c r="G69" s="2">
        <f t="shared" si="6"/>
        <v>43039</v>
      </c>
      <c r="H69" s="2">
        <f t="shared" si="7"/>
        <v>43220</v>
      </c>
      <c r="I69">
        <f t="shared" si="8"/>
        <v>2.2790055248618785E-2</v>
      </c>
      <c r="J69">
        <f t="shared" si="9"/>
        <v>3.4024318541201604</v>
      </c>
    </row>
    <row r="70" spans="1:10" x14ac:dyDescent="0.2">
      <c r="A70" s="2">
        <v>44331</v>
      </c>
      <c r="B70">
        <v>3.125E-2</v>
      </c>
      <c r="C70">
        <v>105.95487336956522</v>
      </c>
      <c r="D70">
        <v>1.8100000000000002E-2</v>
      </c>
      <c r="F70" s="3">
        <v>3.5232876712328767</v>
      </c>
      <c r="G70" s="2">
        <f t="shared" si="6"/>
        <v>42870</v>
      </c>
      <c r="H70" s="2">
        <f t="shared" si="7"/>
        <v>43054</v>
      </c>
      <c r="I70">
        <f t="shared" si="8"/>
        <v>1.4860733695652173</v>
      </c>
      <c r="J70">
        <f t="shared" si="9"/>
        <v>3.3105221964379656</v>
      </c>
    </row>
    <row r="71" spans="1:10" x14ac:dyDescent="0.2">
      <c r="A71" s="2">
        <v>44347</v>
      </c>
      <c r="B71">
        <v>1.375E-2</v>
      </c>
      <c r="C71">
        <v>99.003636065573772</v>
      </c>
      <c r="D71">
        <v>1.839E-2</v>
      </c>
      <c r="F71" s="3">
        <v>3.5671232876712327</v>
      </c>
      <c r="G71" s="2">
        <f t="shared" si="6"/>
        <v>42886</v>
      </c>
      <c r="H71" s="2">
        <f t="shared" si="7"/>
        <v>43069</v>
      </c>
      <c r="I71">
        <f t="shared" si="8"/>
        <v>0.5973360655737705</v>
      </c>
      <c r="J71">
        <f t="shared" si="9"/>
        <v>3.4630857062670408</v>
      </c>
    </row>
    <row r="72" spans="1:10" x14ac:dyDescent="0.2">
      <c r="A72" s="2">
        <v>44377</v>
      </c>
      <c r="B72">
        <v>1.125E-2</v>
      </c>
      <c r="C72">
        <v>97.839661413043487</v>
      </c>
      <c r="D72">
        <v>1.8520000000000002E-2</v>
      </c>
      <c r="F72" s="3">
        <v>3.6493150684931508</v>
      </c>
      <c r="G72" s="2">
        <f t="shared" si="6"/>
        <v>42916</v>
      </c>
      <c r="H72" s="2">
        <f t="shared" si="7"/>
        <v>43100</v>
      </c>
      <c r="I72">
        <f t="shared" si="8"/>
        <v>0.39436141304347827</v>
      </c>
      <c r="J72">
        <f t="shared" si="9"/>
        <v>3.5617632115317064</v>
      </c>
    </row>
    <row r="73" spans="1:10" x14ac:dyDescent="0.2">
      <c r="A73" s="2">
        <v>44408</v>
      </c>
      <c r="B73">
        <v>1.125E-2</v>
      </c>
      <c r="C73">
        <v>97.643392391304346</v>
      </c>
      <c r="D73">
        <v>1.865E-2</v>
      </c>
      <c r="F73" s="3">
        <v>3.7342465753424658</v>
      </c>
      <c r="G73" s="2">
        <f t="shared" si="6"/>
        <v>42947</v>
      </c>
      <c r="H73" s="2">
        <f t="shared" si="7"/>
        <v>43131</v>
      </c>
      <c r="I73">
        <f t="shared" si="8"/>
        <v>0.29959239130434784</v>
      </c>
      <c r="J73">
        <f t="shared" si="9"/>
        <v>3.6464042441975133</v>
      </c>
    </row>
    <row r="74" spans="1:10" x14ac:dyDescent="0.2">
      <c r="A74" s="2">
        <v>44423</v>
      </c>
      <c r="B74">
        <v>2.1250000000000002E-2</v>
      </c>
      <c r="C74">
        <v>101.42457989130435</v>
      </c>
      <c r="D74">
        <v>1.864E-2</v>
      </c>
      <c r="F74" s="3">
        <v>3.7753424657534245</v>
      </c>
      <c r="G74" s="2">
        <f t="shared" si="6"/>
        <v>42962</v>
      </c>
      <c r="H74" s="2">
        <f t="shared" si="7"/>
        <v>43146</v>
      </c>
      <c r="I74">
        <f t="shared" si="8"/>
        <v>0.47927989130434784</v>
      </c>
      <c r="J74">
        <f t="shared" si="9"/>
        <v>3.6225851545421217</v>
      </c>
    </row>
    <row r="75" spans="1:10" x14ac:dyDescent="0.2">
      <c r="A75" s="2">
        <v>44439</v>
      </c>
      <c r="B75">
        <v>1.125E-2</v>
      </c>
      <c r="C75">
        <v>97.4504182320442</v>
      </c>
      <c r="D75">
        <v>1.8769999999999998E-2</v>
      </c>
      <c r="F75" s="3">
        <v>3.8191780821917809</v>
      </c>
      <c r="G75" s="2">
        <f t="shared" si="6"/>
        <v>42978</v>
      </c>
      <c r="H75" s="2">
        <f t="shared" si="7"/>
        <v>43159</v>
      </c>
      <c r="I75">
        <f t="shared" si="8"/>
        <v>0.2082182320441989</v>
      </c>
      <c r="J75">
        <f t="shared" si="9"/>
        <v>3.730747455902574</v>
      </c>
    </row>
    <row r="76" spans="1:10" x14ac:dyDescent="0.2">
      <c r="A76" s="2">
        <v>44469</v>
      </c>
      <c r="B76">
        <v>1.125E-2</v>
      </c>
      <c r="C76">
        <v>97.270654395604396</v>
      </c>
      <c r="D76">
        <v>1.8849999999999999E-2</v>
      </c>
      <c r="F76" s="3">
        <v>3.9013698630136986</v>
      </c>
      <c r="G76" s="2">
        <f t="shared" si="6"/>
        <v>43008</v>
      </c>
      <c r="H76" s="2">
        <f t="shared" si="7"/>
        <v>43190</v>
      </c>
      <c r="I76">
        <f t="shared" si="8"/>
        <v>0.1143543956043956</v>
      </c>
      <c r="J76">
        <f t="shared" si="9"/>
        <v>3.8122994515555568</v>
      </c>
    </row>
    <row r="77" spans="1:10" x14ac:dyDescent="0.2">
      <c r="A77" s="2">
        <v>44500</v>
      </c>
      <c r="B77">
        <v>1.2500000000000001E-2</v>
      </c>
      <c r="C77">
        <v>97.5754182320442</v>
      </c>
      <c r="D77">
        <v>1.89E-2</v>
      </c>
      <c r="F77" s="3">
        <v>3.9863013698630136</v>
      </c>
      <c r="G77" s="2">
        <f t="shared" si="6"/>
        <v>43039</v>
      </c>
      <c r="H77" s="2">
        <f t="shared" si="7"/>
        <v>43220</v>
      </c>
      <c r="I77">
        <f t="shared" si="8"/>
        <v>2.0718232044198894E-2</v>
      </c>
      <c r="J77">
        <f t="shared" si="9"/>
        <v>3.8877072240046209</v>
      </c>
    </row>
    <row r="78" spans="1:10" x14ac:dyDescent="0.2">
      <c r="A78" s="2">
        <v>44515</v>
      </c>
      <c r="B78">
        <v>0.02</v>
      </c>
      <c r="C78">
        <v>101.41198695652173</v>
      </c>
      <c r="D78">
        <v>1.881E-2</v>
      </c>
      <c r="F78" s="3">
        <v>4.0273972602739727</v>
      </c>
      <c r="G78" s="2">
        <f t="shared" si="6"/>
        <v>42870</v>
      </c>
      <c r="H78" s="2">
        <f t="shared" si="7"/>
        <v>43054</v>
      </c>
      <c r="I78">
        <f t="shared" si="8"/>
        <v>0.95108695652173914</v>
      </c>
      <c r="J78">
        <f t="shared" si="9"/>
        <v>3.8404200312491867</v>
      </c>
    </row>
    <row r="79" spans="1:10" x14ac:dyDescent="0.2">
      <c r="A79" s="2">
        <v>44530</v>
      </c>
      <c r="B79">
        <v>1.7500000000000002E-2</v>
      </c>
      <c r="C79">
        <v>100.15864590163935</v>
      </c>
      <c r="D79">
        <v>1.9039999999999998E-2</v>
      </c>
      <c r="F79" s="3">
        <v>4.0684931506849313</v>
      </c>
      <c r="G79" s="2">
        <f t="shared" si="6"/>
        <v>42886</v>
      </c>
      <c r="H79" s="2">
        <f t="shared" si="7"/>
        <v>43069</v>
      </c>
      <c r="I79">
        <f t="shared" si="8"/>
        <v>0.76024590163934447</v>
      </c>
      <c r="J79">
        <f t="shared" si="9"/>
        <v>3.9041394424609628</v>
      </c>
    </row>
    <row r="80" spans="1:10" x14ac:dyDescent="0.2">
      <c r="A80" s="2">
        <v>44561</v>
      </c>
      <c r="B80">
        <v>0.02</v>
      </c>
      <c r="C80">
        <v>101.02918695652174</v>
      </c>
      <c r="D80">
        <v>1.917E-2</v>
      </c>
      <c r="F80" s="3">
        <v>4.1534246575342468</v>
      </c>
      <c r="G80" s="2">
        <f t="shared" si="6"/>
        <v>42916</v>
      </c>
      <c r="H80" s="2">
        <f t="shared" si="7"/>
        <v>43100</v>
      </c>
      <c r="I80">
        <f t="shared" si="8"/>
        <v>0.70108695652173914</v>
      </c>
      <c r="J80">
        <f t="shared" si="9"/>
        <v>3.9689832140504975</v>
      </c>
    </row>
    <row r="81" spans="1:10" x14ac:dyDescent="0.2">
      <c r="A81" s="2">
        <v>44592</v>
      </c>
      <c r="B81">
        <v>1.4999999999999999E-2</v>
      </c>
      <c r="C81">
        <v>98.672856521739121</v>
      </c>
      <c r="D81">
        <v>1.9259999999999999E-2</v>
      </c>
      <c r="F81" s="3">
        <v>4.2383561643835614</v>
      </c>
      <c r="G81" s="2">
        <f t="shared" si="6"/>
        <v>42947</v>
      </c>
      <c r="H81" s="2">
        <f t="shared" si="7"/>
        <v>43131</v>
      </c>
      <c r="I81">
        <f t="shared" si="8"/>
        <v>0.39945652173913043</v>
      </c>
      <c r="J81">
        <f t="shared" si="9"/>
        <v>4.0937593209467096</v>
      </c>
    </row>
    <row r="82" spans="1:10" x14ac:dyDescent="0.2">
      <c r="A82" s="2">
        <v>44607</v>
      </c>
      <c r="B82">
        <v>0.02</v>
      </c>
      <c r="C82">
        <v>100.79488695652174</v>
      </c>
      <c r="D82">
        <v>1.916E-2</v>
      </c>
      <c r="F82" s="3">
        <v>4.279452054794521</v>
      </c>
      <c r="G82" s="2">
        <f t="shared" si="6"/>
        <v>42962</v>
      </c>
      <c r="H82" s="2">
        <f t="shared" si="7"/>
        <v>43146</v>
      </c>
      <c r="I82">
        <f t="shared" si="8"/>
        <v>0.45108695652173914</v>
      </c>
      <c r="J82">
        <f t="shared" si="9"/>
        <v>4.0917331873055556</v>
      </c>
    </row>
    <row r="83" spans="1:10" x14ac:dyDescent="0.2">
      <c r="A83" s="2">
        <v>44620</v>
      </c>
      <c r="B83">
        <v>1.7500000000000002E-2</v>
      </c>
      <c r="C83">
        <v>99.550495027624308</v>
      </c>
      <c r="D83">
        <v>1.9379999999999998E-2</v>
      </c>
      <c r="F83" s="3">
        <v>4.3150684931506849</v>
      </c>
      <c r="G83" s="2">
        <f t="shared" si="6"/>
        <v>42978</v>
      </c>
      <c r="H83" s="2">
        <f t="shared" si="7"/>
        <v>43159</v>
      </c>
      <c r="I83">
        <f t="shared" si="8"/>
        <v>0.32389502762430944</v>
      </c>
      <c r="J83">
        <f t="shared" si="9"/>
        <v>4.150814386260544</v>
      </c>
    </row>
    <row r="84" spans="1:10" x14ac:dyDescent="0.2">
      <c r="A84" s="2">
        <v>44651</v>
      </c>
      <c r="B84">
        <v>1.7500000000000002E-2</v>
      </c>
      <c r="C84">
        <v>99.334184615384615</v>
      </c>
      <c r="D84">
        <v>1.951E-2</v>
      </c>
      <c r="F84" s="3">
        <v>4.4000000000000004</v>
      </c>
      <c r="G84" s="2">
        <f t="shared" si="6"/>
        <v>43008</v>
      </c>
      <c r="H84" s="2">
        <f t="shared" si="7"/>
        <v>43190</v>
      </c>
      <c r="I84">
        <f t="shared" si="8"/>
        <v>0.17788461538461542</v>
      </c>
      <c r="J84">
        <f t="shared" si="9"/>
        <v>4.2359485539996218</v>
      </c>
    </row>
    <row r="85" spans="1:10" x14ac:dyDescent="0.2">
      <c r="A85" s="2">
        <v>44681</v>
      </c>
      <c r="B85">
        <v>1.7500000000000002E-2</v>
      </c>
      <c r="C85">
        <v>99.130605524861878</v>
      </c>
      <c r="D85">
        <v>1.9599999999999999E-2</v>
      </c>
      <c r="F85" s="3">
        <v>4.4821917808219176</v>
      </c>
      <c r="G85" s="2">
        <f t="shared" si="6"/>
        <v>43039</v>
      </c>
      <c r="H85" s="2">
        <f t="shared" si="7"/>
        <v>43220</v>
      </c>
      <c r="I85">
        <f t="shared" si="8"/>
        <v>2.9005524861878459E-2</v>
      </c>
      <c r="J85">
        <f t="shared" si="9"/>
        <v>4.3182898986214253</v>
      </c>
    </row>
    <row r="86" spans="1:10" x14ac:dyDescent="0.2">
      <c r="A86" s="2">
        <v>44696</v>
      </c>
      <c r="B86">
        <v>1.7500000000000002E-2</v>
      </c>
      <c r="C86">
        <v>99.988501086956518</v>
      </c>
      <c r="D86">
        <v>1.9459999999999998E-2</v>
      </c>
      <c r="F86" s="3">
        <v>4.5232876712328771</v>
      </c>
      <c r="G86" s="2">
        <f t="shared" si="6"/>
        <v>42870</v>
      </c>
      <c r="H86" s="2">
        <f t="shared" si="7"/>
        <v>43054</v>
      </c>
      <c r="I86">
        <f t="shared" si="8"/>
        <v>0.83220108695652184</v>
      </c>
      <c r="J86">
        <f t="shared" si="9"/>
        <v>4.3177992350617416</v>
      </c>
    </row>
    <row r="87" spans="1:10" x14ac:dyDescent="0.2">
      <c r="A87" s="2">
        <v>44712</v>
      </c>
      <c r="B87">
        <v>1.7500000000000002E-2</v>
      </c>
      <c r="C87">
        <v>99.822745901639351</v>
      </c>
      <c r="D87">
        <v>1.966E-2</v>
      </c>
      <c r="F87" s="3">
        <v>4.5671232876712331</v>
      </c>
      <c r="G87" s="2">
        <f t="shared" si="6"/>
        <v>42886</v>
      </c>
      <c r="H87" s="2">
        <f t="shared" si="7"/>
        <v>43069</v>
      </c>
      <c r="I87">
        <f t="shared" si="8"/>
        <v>0.76024590163934447</v>
      </c>
      <c r="J87">
        <f t="shared" si="9"/>
        <v>4.3639878731071358</v>
      </c>
    </row>
    <row r="88" spans="1:10" x14ac:dyDescent="0.2">
      <c r="A88" s="2">
        <v>44742</v>
      </c>
      <c r="B88">
        <v>1.7500000000000002E-2</v>
      </c>
      <c r="C88">
        <v>99.605651086956513</v>
      </c>
      <c r="D88">
        <v>1.9779999999999999E-2</v>
      </c>
      <c r="F88" s="3">
        <v>4.6493150684931503</v>
      </c>
      <c r="G88" s="2">
        <f t="shared" si="6"/>
        <v>42916</v>
      </c>
      <c r="H88" s="2">
        <f t="shared" si="7"/>
        <v>43100</v>
      </c>
      <c r="I88">
        <f t="shared" si="8"/>
        <v>0.61345108695652184</v>
      </c>
      <c r="J88">
        <f t="shared" si="9"/>
        <v>4.4468977717587421</v>
      </c>
    </row>
    <row r="89" spans="1:10" x14ac:dyDescent="0.2">
      <c r="A89" s="2">
        <v>44773</v>
      </c>
      <c r="B89">
        <v>1.8749999999999999E-2</v>
      </c>
      <c r="C89">
        <v>99.983720652173901</v>
      </c>
      <c r="D89">
        <v>1.9890000000000001E-2</v>
      </c>
      <c r="F89" s="3">
        <v>4.7342465753424658</v>
      </c>
      <c r="G89" s="2">
        <f t="shared" si="6"/>
        <v>42947</v>
      </c>
      <c r="H89" s="2">
        <f t="shared" si="7"/>
        <v>43131</v>
      </c>
      <c r="I89">
        <f t="shared" si="8"/>
        <v>0.49932065217391303</v>
      </c>
      <c r="J89">
        <f t="shared" si="9"/>
        <v>4.5197905784905803</v>
      </c>
    </row>
    <row r="90" spans="1:10" x14ac:dyDescent="0.2">
      <c r="A90" s="2">
        <v>44788</v>
      </c>
      <c r="B90">
        <v>1.6250000000000001E-2</v>
      </c>
      <c r="C90">
        <v>98.804008152173907</v>
      </c>
      <c r="D90">
        <v>1.9689999999999999E-2</v>
      </c>
      <c r="F90" s="3">
        <v>4.7753424657534245</v>
      </c>
      <c r="G90" s="2">
        <f t="shared" si="6"/>
        <v>42962</v>
      </c>
      <c r="H90" s="2">
        <f t="shared" si="7"/>
        <v>43146</v>
      </c>
      <c r="I90">
        <f t="shared" si="8"/>
        <v>0.36650815217391303</v>
      </c>
      <c r="J90">
        <f t="shared" si="9"/>
        <v>4.5806559166633392</v>
      </c>
    </row>
    <row r="91" spans="1:10" x14ac:dyDescent="0.2">
      <c r="A91" s="2">
        <v>44804</v>
      </c>
      <c r="B91">
        <v>1.6250000000000001E-2</v>
      </c>
      <c r="C91">
        <v>98.621059668508295</v>
      </c>
      <c r="D91">
        <v>1.992E-2</v>
      </c>
      <c r="F91" s="3">
        <v>4.8191780821917805</v>
      </c>
      <c r="G91" s="2">
        <f t="shared" si="6"/>
        <v>42978</v>
      </c>
      <c r="H91" s="2">
        <f t="shared" si="7"/>
        <v>43159</v>
      </c>
      <c r="I91">
        <f t="shared" si="8"/>
        <v>0.30075966850828728</v>
      </c>
      <c r="J91">
        <f t="shared" si="9"/>
        <v>4.6277080444472709</v>
      </c>
    </row>
    <row r="92" spans="1:10" x14ac:dyDescent="0.2">
      <c r="A92" s="2">
        <v>44834</v>
      </c>
      <c r="B92">
        <v>1.7500000000000002E-2</v>
      </c>
      <c r="C92">
        <v>98.966984615384618</v>
      </c>
      <c r="D92">
        <v>2.0110000000000003E-2</v>
      </c>
      <c r="F92" s="3">
        <v>4.9013698630136986</v>
      </c>
      <c r="G92" s="2">
        <f t="shared" si="6"/>
        <v>43008</v>
      </c>
      <c r="H92" s="2">
        <f t="shared" si="7"/>
        <v>43190</v>
      </c>
      <c r="I92">
        <f t="shared" si="8"/>
        <v>0.17788461538461542</v>
      </c>
      <c r="J92">
        <f t="shared" si="9"/>
        <v>4.6996491847484867</v>
      </c>
    </row>
    <row r="93" spans="1:10" x14ac:dyDescent="0.2">
      <c r="A93" s="2">
        <v>44865</v>
      </c>
      <c r="B93">
        <v>1.8749999999999999E-2</v>
      </c>
      <c r="C93">
        <v>99.382677348066309</v>
      </c>
      <c r="D93">
        <v>2.0119999999999999E-2</v>
      </c>
      <c r="F93" s="3">
        <v>4.9863013698630141</v>
      </c>
      <c r="G93" s="2">
        <f t="shared" si="6"/>
        <v>43039</v>
      </c>
      <c r="H93" s="2">
        <f t="shared" si="7"/>
        <v>43220</v>
      </c>
      <c r="I93">
        <f t="shared" si="8"/>
        <v>3.1077348066298343E-2</v>
      </c>
      <c r="J93">
        <f t="shared" si="9"/>
        <v>4.7705573019964573</v>
      </c>
    </row>
    <row r="94" spans="1:10" x14ac:dyDescent="0.2">
      <c r="A94" s="2">
        <v>44880</v>
      </c>
      <c r="B94">
        <v>1.6250000000000001E-2</v>
      </c>
      <c r="C94">
        <v>98.936858152173912</v>
      </c>
      <c r="D94">
        <v>2.0110000000000003E-2</v>
      </c>
      <c r="F94" s="3">
        <v>5.0273972602739727</v>
      </c>
      <c r="G94" s="2">
        <f t="shared" si="6"/>
        <v>42870</v>
      </c>
      <c r="H94" s="2">
        <f t="shared" si="7"/>
        <v>43054</v>
      </c>
      <c r="I94">
        <f t="shared" si="8"/>
        <v>0.77275815217391308</v>
      </c>
      <c r="J94">
        <f t="shared" si="9"/>
        <v>4.7958609101799548</v>
      </c>
    </row>
    <row r="95" spans="1:10" x14ac:dyDescent="0.2">
      <c r="A95" s="2">
        <v>44895</v>
      </c>
      <c r="B95">
        <v>0.02</v>
      </c>
      <c r="C95">
        <v>100.76725245901639</v>
      </c>
      <c r="D95">
        <v>2.0209999999999999E-2</v>
      </c>
      <c r="F95" s="3">
        <v>5.0684931506849313</v>
      </c>
      <c r="G95" s="2">
        <f t="shared" si="6"/>
        <v>42886</v>
      </c>
      <c r="H95" s="2">
        <f t="shared" si="7"/>
        <v>43069</v>
      </c>
      <c r="I95">
        <f t="shared" si="8"/>
        <v>0.86885245901639341</v>
      </c>
      <c r="J95">
        <f t="shared" si="9"/>
        <v>4.7934409008956695</v>
      </c>
    </row>
    <row r="96" spans="1:10" x14ac:dyDescent="0.2">
      <c r="A96" s="2">
        <v>44926</v>
      </c>
      <c r="B96">
        <v>2.1250000000000002E-2</v>
      </c>
      <c r="C96">
        <v>101.19020489130435</v>
      </c>
      <c r="D96">
        <v>2.0330000000000001E-2</v>
      </c>
      <c r="F96" s="3">
        <v>5.1534246575342468</v>
      </c>
      <c r="G96" s="2">
        <f t="shared" si="6"/>
        <v>42916</v>
      </c>
      <c r="H96" s="2">
        <f t="shared" si="7"/>
        <v>43100</v>
      </c>
      <c r="I96">
        <f t="shared" si="8"/>
        <v>0.74490489130434778</v>
      </c>
      <c r="J96">
        <f t="shared" si="9"/>
        <v>4.8644900542913065</v>
      </c>
    </row>
    <row r="97" spans="1:10" x14ac:dyDescent="0.2">
      <c r="A97" s="2">
        <v>44957</v>
      </c>
      <c r="B97">
        <v>1.7500000000000002E-2</v>
      </c>
      <c r="C97">
        <v>98.997332608695658</v>
      </c>
      <c r="D97">
        <v>2.0470000000000002E-2</v>
      </c>
      <c r="F97" s="3">
        <v>5.2383561643835614</v>
      </c>
      <c r="G97" s="2">
        <f t="shared" si="6"/>
        <v>42947</v>
      </c>
      <c r="H97" s="2">
        <f t="shared" si="7"/>
        <v>43131</v>
      </c>
      <c r="I97">
        <f t="shared" si="8"/>
        <v>0.46603260869565227</v>
      </c>
      <c r="J97">
        <f t="shared" si="9"/>
        <v>4.9953858484193461</v>
      </c>
    </row>
    <row r="98" spans="1:10" x14ac:dyDescent="0.2">
      <c r="A98" s="2">
        <v>44972</v>
      </c>
      <c r="B98">
        <v>0.02</v>
      </c>
      <c r="C98">
        <v>100.20888695652174</v>
      </c>
      <c r="D98">
        <v>2.0480000000000002E-2</v>
      </c>
      <c r="F98" s="3">
        <v>5.279452054794521</v>
      </c>
      <c r="G98" s="2">
        <f t="shared" si="6"/>
        <v>42962</v>
      </c>
      <c r="H98" s="2">
        <f t="shared" si="7"/>
        <v>43146</v>
      </c>
      <c r="I98">
        <f t="shared" si="8"/>
        <v>0.45108695652173914</v>
      </c>
      <c r="J98">
        <f t="shared" si="9"/>
        <v>5.0060477459751889</v>
      </c>
    </row>
    <row r="99" spans="1:10" x14ac:dyDescent="0.2">
      <c r="A99" s="2">
        <v>44985</v>
      </c>
      <c r="B99">
        <v>1.4999999999999999E-2</v>
      </c>
      <c r="C99">
        <v>97.51202430939226</v>
      </c>
      <c r="D99">
        <v>2.052E-2</v>
      </c>
      <c r="F99" s="3">
        <v>5.3150684931506849</v>
      </c>
      <c r="G99" s="2">
        <f t="shared" ref="G99:G130" si="10">COUPPCD($A$1,A99,2,1)</f>
        <v>42978</v>
      </c>
      <c r="H99" s="2">
        <f t="shared" ref="H99:H130" si="11">COUPNCD($A$1,A99,2,1)</f>
        <v>43159</v>
      </c>
      <c r="I99">
        <f t="shared" si="8"/>
        <v>0.27762430939226518</v>
      </c>
      <c r="J99">
        <f t="shared" si="9"/>
        <v>5.1030569450762604</v>
      </c>
    </row>
    <row r="100" spans="1:10" x14ac:dyDescent="0.2">
      <c r="A100" s="2">
        <v>45016</v>
      </c>
      <c r="B100">
        <v>1.4999999999999999E-2</v>
      </c>
      <c r="C100">
        <v>97.293072527472532</v>
      </c>
      <c r="D100">
        <v>2.0619999999999999E-2</v>
      </c>
      <c r="F100" s="3">
        <v>5.4</v>
      </c>
      <c r="G100" s="2">
        <f t="shared" si="10"/>
        <v>43008</v>
      </c>
      <c r="H100" s="2">
        <f t="shared" si="11"/>
        <v>43190</v>
      </c>
      <c r="I100">
        <f t="shared" si="8"/>
        <v>0.15247252747252749</v>
      </c>
      <c r="J100">
        <f t="shared" si="9"/>
        <v>5.18873405139394</v>
      </c>
    </row>
    <row r="101" spans="1:10" x14ac:dyDescent="0.2">
      <c r="A101" s="2">
        <v>45046</v>
      </c>
      <c r="B101">
        <v>1.6250000000000001E-2</v>
      </c>
      <c r="C101">
        <v>97.745733701657457</v>
      </c>
      <c r="D101">
        <v>2.0670000000000001E-2</v>
      </c>
      <c r="F101" s="3">
        <v>5.4821917808219176</v>
      </c>
      <c r="G101" s="2">
        <f t="shared" si="10"/>
        <v>43039</v>
      </c>
      <c r="H101" s="2">
        <f t="shared" si="11"/>
        <v>43220</v>
      </c>
      <c r="I101">
        <f t="shared" si="8"/>
        <v>2.6933701657458564E-2</v>
      </c>
      <c r="J101">
        <f t="shared" si="9"/>
        <v>5.2555263148354925</v>
      </c>
    </row>
    <row r="102" spans="1:10" x14ac:dyDescent="0.2">
      <c r="A102" s="2">
        <v>45061</v>
      </c>
      <c r="B102">
        <v>1.7500000000000002E-2</v>
      </c>
      <c r="C102">
        <v>99.144701086956516</v>
      </c>
      <c r="D102">
        <v>2.0750000000000001E-2</v>
      </c>
      <c r="F102" s="3">
        <v>5.5232876712328771</v>
      </c>
      <c r="G102" s="2">
        <f t="shared" si="10"/>
        <v>42870</v>
      </c>
      <c r="H102" s="2">
        <f t="shared" si="11"/>
        <v>43054</v>
      </c>
      <c r="I102">
        <f t="shared" si="8"/>
        <v>0.83220108695652184</v>
      </c>
      <c r="J102">
        <f t="shared" si="9"/>
        <v>5.2363026556348045</v>
      </c>
    </row>
    <row r="103" spans="1:10" x14ac:dyDescent="0.2">
      <c r="A103" s="2">
        <v>45077</v>
      </c>
      <c r="B103">
        <v>1.6250000000000001E-2</v>
      </c>
      <c r="C103">
        <v>98.338742622950818</v>
      </c>
      <c r="D103">
        <v>2.078E-2</v>
      </c>
      <c r="F103" s="3">
        <v>5.5671232876712331</v>
      </c>
      <c r="G103" s="2">
        <f t="shared" si="10"/>
        <v>42886</v>
      </c>
      <c r="H103" s="2">
        <f t="shared" si="11"/>
        <v>43069</v>
      </c>
      <c r="I103">
        <f t="shared" si="8"/>
        <v>0.70594262295081966</v>
      </c>
      <c r="J103">
        <f t="shared" si="9"/>
        <v>5.2976736776556246</v>
      </c>
    </row>
    <row r="104" spans="1:10" x14ac:dyDescent="0.2">
      <c r="A104" s="2">
        <v>45107</v>
      </c>
      <c r="B104">
        <v>1.375E-2</v>
      </c>
      <c r="C104">
        <v>96.708597282608707</v>
      </c>
      <c r="D104">
        <v>2.086E-2</v>
      </c>
      <c r="F104" s="3">
        <v>5.6493150684931503</v>
      </c>
      <c r="G104" s="2">
        <f t="shared" si="10"/>
        <v>42916</v>
      </c>
      <c r="H104" s="2">
        <f t="shared" si="11"/>
        <v>43100</v>
      </c>
      <c r="I104">
        <f t="shared" si="8"/>
        <v>0.48199728260869568</v>
      </c>
      <c r="J104">
        <f t="shared" si="9"/>
        <v>5.4180559268353257</v>
      </c>
    </row>
    <row r="105" spans="1:10" x14ac:dyDescent="0.2">
      <c r="A105" s="2">
        <v>45138</v>
      </c>
      <c r="B105">
        <v>1.2500000000000001E-2</v>
      </c>
      <c r="C105">
        <v>95.801680434782611</v>
      </c>
      <c r="D105">
        <v>2.0930000000000001E-2</v>
      </c>
      <c r="F105" s="3">
        <v>5.7342465753424658</v>
      </c>
      <c r="G105" s="2">
        <f t="shared" si="10"/>
        <v>42947</v>
      </c>
      <c r="H105" s="2">
        <f t="shared" si="11"/>
        <v>43131</v>
      </c>
      <c r="I105">
        <f t="shared" si="8"/>
        <v>0.3328804347826087</v>
      </c>
      <c r="J105">
        <f t="shared" si="9"/>
        <v>5.5219828652929843</v>
      </c>
    </row>
    <row r="106" spans="1:10" x14ac:dyDescent="0.2">
      <c r="A106" s="2">
        <v>45153</v>
      </c>
      <c r="B106">
        <v>2.5000000000000001E-2</v>
      </c>
      <c r="C106">
        <v>102.82945869565218</v>
      </c>
      <c r="D106">
        <v>2.0809999999999999E-2</v>
      </c>
      <c r="F106" s="3">
        <v>5.7753424657534245</v>
      </c>
      <c r="G106" s="2">
        <f t="shared" si="10"/>
        <v>42962</v>
      </c>
      <c r="H106" s="2">
        <f t="shared" si="11"/>
        <v>43146</v>
      </c>
      <c r="I106">
        <f t="shared" si="8"/>
        <v>0.56385869565217395</v>
      </c>
      <c r="J106">
        <f t="shared" si="9"/>
        <v>5.3816481912386118</v>
      </c>
    </row>
    <row r="107" spans="1:10" x14ac:dyDescent="0.2">
      <c r="A107" s="2">
        <v>45169</v>
      </c>
      <c r="B107">
        <v>1.375E-2</v>
      </c>
      <c r="C107">
        <v>96.309188950276237</v>
      </c>
      <c r="D107">
        <v>2.0990000000000002E-2</v>
      </c>
      <c r="F107" s="3">
        <v>5.8191780821917805</v>
      </c>
      <c r="G107" s="2">
        <f t="shared" si="10"/>
        <v>42978</v>
      </c>
      <c r="H107" s="2">
        <f t="shared" si="11"/>
        <v>43159</v>
      </c>
      <c r="I107">
        <f t="shared" si="8"/>
        <v>0.25448895027624308</v>
      </c>
      <c r="J107">
        <f t="shared" si="9"/>
        <v>5.587621821198276</v>
      </c>
    </row>
    <row r="108" spans="1:10" x14ac:dyDescent="0.2">
      <c r="A108" s="2">
        <v>45199</v>
      </c>
      <c r="B108">
        <v>1.375E-2</v>
      </c>
      <c r="C108">
        <v>96.100666483516477</v>
      </c>
      <c r="D108">
        <v>2.1070000000000002E-2</v>
      </c>
      <c r="F108" s="3">
        <v>5.9013698630136986</v>
      </c>
      <c r="G108" s="2">
        <f t="shared" si="10"/>
        <v>43008</v>
      </c>
      <c r="H108" s="2">
        <f t="shared" si="11"/>
        <v>43190</v>
      </c>
      <c r="I108">
        <f t="shared" si="8"/>
        <v>0.13976648351648352</v>
      </c>
      <c r="J108">
        <f t="shared" si="9"/>
        <v>5.6708696786363966</v>
      </c>
    </row>
    <row r="109" spans="1:10" x14ac:dyDescent="0.2">
      <c r="A109" s="2">
        <v>45230</v>
      </c>
      <c r="B109">
        <v>1.6250000000000001E-2</v>
      </c>
      <c r="C109">
        <v>97.339433701657455</v>
      </c>
      <c r="D109">
        <v>2.1049999999999999E-2</v>
      </c>
      <c r="F109" s="3">
        <v>5.9863013698630141</v>
      </c>
      <c r="G109" s="2">
        <f t="shared" si="10"/>
        <v>43039</v>
      </c>
      <c r="H109" s="2">
        <f t="shared" si="11"/>
        <v>43220</v>
      </c>
      <c r="I109">
        <f t="shared" si="8"/>
        <v>2.6933701657458564E-2</v>
      </c>
      <c r="J109">
        <f t="shared" si="9"/>
        <v>5.7166306772171298</v>
      </c>
    </row>
    <row r="110" spans="1:10" x14ac:dyDescent="0.2">
      <c r="A110" s="2">
        <v>45245</v>
      </c>
      <c r="B110">
        <v>2.75E-2</v>
      </c>
      <c r="C110">
        <v>104.9483445652174</v>
      </c>
      <c r="D110">
        <v>2.1030000000000004E-2</v>
      </c>
      <c r="F110" s="3">
        <v>6.0273972602739727</v>
      </c>
      <c r="G110" s="2">
        <f t="shared" si="10"/>
        <v>42870</v>
      </c>
      <c r="H110" s="2">
        <f t="shared" si="11"/>
        <v>43054</v>
      </c>
      <c r="I110">
        <f t="shared" si="8"/>
        <v>1.3077445652173914</v>
      </c>
      <c r="J110">
        <f t="shared" si="9"/>
        <v>5.5290915693466376</v>
      </c>
    </row>
    <row r="111" spans="1:10" x14ac:dyDescent="0.2">
      <c r="A111" s="2">
        <v>45260</v>
      </c>
      <c r="B111">
        <v>2.1250000000000002E-2</v>
      </c>
      <c r="C111">
        <v>101.01695573770492</v>
      </c>
      <c r="D111">
        <v>2.1080000000000002E-2</v>
      </c>
      <c r="F111" s="3">
        <v>6.0684931506849313</v>
      </c>
      <c r="G111" s="2">
        <f t="shared" si="10"/>
        <v>42886</v>
      </c>
      <c r="H111" s="2">
        <f t="shared" si="11"/>
        <v>43069</v>
      </c>
      <c r="I111">
        <f t="shared" si="8"/>
        <v>0.92315573770491799</v>
      </c>
      <c r="J111">
        <f t="shared" si="9"/>
        <v>5.6679669090910911</v>
      </c>
    </row>
    <row r="112" spans="1:10" x14ac:dyDescent="0.2">
      <c r="A112" s="2">
        <v>45291</v>
      </c>
      <c r="B112">
        <v>2.2499999999999999E-2</v>
      </c>
      <c r="C112">
        <v>101.49962282608695</v>
      </c>
      <c r="D112">
        <v>2.1259999999999998E-2</v>
      </c>
      <c r="F112" s="3">
        <v>6.1534246575342468</v>
      </c>
      <c r="G112" s="2">
        <f t="shared" si="10"/>
        <v>42916</v>
      </c>
      <c r="H112" s="2">
        <f t="shared" si="11"/>
        <v>43100</v>
      </c>
      <c r="I112">
        <f t="shared" si="8"/>
        <v>0.78872282608695654</v>
      </c>
      <c r="J112">
        <f t="shared" si="9"/>
        <v>5.7367824789377853</v>
      </c>
    </row>
    <row r="113" spans="1:10" x14ac:dyDescent="0.2">
      <c r="A113" s="2">
        <v>45337</v>
      </c>
      <c r="B113">
        <v>2.75E-2</v>
      </c>
      <c r="C113">
        <v>104.1983445652174</v>
      </c>
      <c r="D113">
        <v>2.137E-2</v>
      </c>
      <c r="F113" s="3">
        <v>6.279452054794521</v>
      </c>
      <c r="G113" s="2">
        <f t="shared" si="10"/>
        <v>42962</v>
      </c>
      <c r="H113" s="2">
        <f t="shared" si="11"/>
        <v>43146</v>
      </c>
      <c r="I113">
        <f t="shared" si="8"/>
        <v>0.62024456521739135</v>
      </c>
      <c r="J113">
        <f t="shared" si="9"/>
        <v>5.7873528213090504</v>
      </c>
    </row>
    <row r="114" spans="1:10" x14ac:dyDescent="0.2">
      <c r="A114" s="2">
        <v>45351</v>
      </c>
      <c r="B114">
        <v>2.1250000000000002E-2</v>
      </c>
      <c r="C114">
        <v>100.26830110497238</v>
      </c>
      <c r="D114">
        <v>2.146E-2</v>
      </c>
      <c r="F114" s="3">
        <v>6.3178082191780822</v>
      </c>
      <c r="G114" s="2">
        <f t="shared" si="10"/>
        <v>42978</v>
      </c>
      <c r="H114" s="2">
        <f t="shared" si="11"/>
        <v>43159</v>
      </c>
      <c r="I114">
        <f t="shared" si="8"/>
        <v>0.39330110497237569</v>
      </c>
      <c r="J114">
        <f t="shared" si="9"/>
        <v>5.9256040536396206</v>
      </c>
    </row>
    <row r="115" spans="1:10" x14ac:dyDescent="0.2">
      <c r="A115" s="2">
        <v>45382</v>
      </c>
      <c r="B115">
        <v>2.1250000000000002E-2</v>
      </c>
      <c r="C115">
        <v>100.04410274725275</v>
      </c>
      <c r="D115">
        <v>2.154E-2</v>
      </c>
      <c r="F115" s="3">
        <v>6.4027397260273968</v>
      </c>
      <c r="G115" s="2">
        <f t="shared" si="10"/>
        <v>43008</v>
      </c>
      <c r="H115" s="2">
        <f t="shared" si="11"/>
        <v>43190</v>
      </c>
      <c r="I115">
        <f t="shared" si="8"/>
        <v>0.21600274725274726</v>
      </c>
      <c r="J115">
        <f t="shared" si="9"/>
        <v>6.0116196947361171</v>
      </c>
    </row>
    <row r="116" spans="1:10" x14ac:dyDescent="0.2">
      <c r="A116" s="2">
        <v>45412</v>
      </c>
      <c r="B116">
        <v>0.02</v>
      </c>
      <c r="C116">
        <v>99.080049171270716</v>
      </c>
      <c r="D116">
        <v>2.1579999999999998E-2</v>
      </c>
      <c r="F116" s="3">
        <v>6.484931506849315</v>
      </c>
      <c r="G116" s="2">
        <f t="shared" si="10"/>
        <v>43039</v>
      </c>
      <c r="H116" s="2">
        <f t="shared" si="11"/>
        <v>43220</v>
      </c>
      <c r="I116">
        <f t="shared" si="8"/>
        <v>3.3149171270718231E-2</v>
      </c>
      <c r="J116">
        <f t="shared" si="9"/>
        <v>6.1150850777806918</v>
      </c>
    </row>
    <row r="117" spans="1:10" x14ac:dyDescent="0.2">
      <c r="A117" s="2">
        <v>45427</v>
      </c>
      <c r="B117">
        <v>2.5000000000000001E-2</v>
      </c>
      <c r="C117">
        <v>103.24355869565217</v>
      </c>
      <c r="D117">
        <v>2.1610000000000001E-2</v>
      </c>
      <c r="F117" s="3">
        <v>6.5260273972602736</v>
      </c>
      <c r="G117" s="2">
        <f t="shared" si="10"/>
        <v>42870</v>
      </c>
      <c r="H117" s="2">
        <f t="shared" si="11"/>
        <v>43054</v>
      </c>
      <c r="I117">
        <f t="shared" si="8"/>
        <v>1.1888586956521738</v>
      </c>
      <c r="J117">
        <f t="shared" si="9"/>
        <v>6.0037302807945094</v>
      </c>
    </row>
    <row r="118" spans="1:10" x14ac:dyDescent="0.2">
      <c r="A118" s="2">
        <v>45443</v>
      </c>
      <c r="B118">
        <v>0.02</v>
      </c>
      <c r="C118">
        <v>99.8454524590164</v>
      </c>
      <c r="D118">
        <v>2.1680000000000001E-2</v>
      </c>
      <c r="F118" s="3">
        <v>6.5698630136986305</v>
      </c>
      <c r="G118" s="2">
        <f t="shared" si="10"/>
        <v>42886</v>
      </c>
      <c r="H118" s="2">
        <f t="shared" si="11"/>
        <v>43069</v>
      </c>
      <c r="I118">
        <f t="shared" si="8"/>
        <v>0.86885245901639341</v>
      </c>
      <c r="J118">
        <f t="shared" si="9"/>
        <v>6.1405442599403859</v>
      </c>
    </row>
    <row r="119" spans="1:10" x14ac:dyDescent="0.2">
      <c r="A119" s="2">
        <v>45473</v>
      </c>
      <c r="B119">
        <v>0.02</v>
      </c>
      <c r="C119">
        <v>99.630786956521732</v>
      </c>
      <c r="D119">
        <v>2.1739999999999999E-2</v>
      </c>
      <c r="F119" s="3">
        <v>6.6520547945205477</v>
      </c>
      <c r="G119" s="2">
        <f t="shared" si="10"/>
        <v>42916</v>
      </c>
      <c r="H119" s="2">
        <f t="shared" si="11"/>
        <v>43100</v>
      </c>
      <c r="I119">
        <f t="shared" si="8"/>
        <v>0.70108695652173914</v>
      </c>
      <c r="J119">
        <f t="shared" si="9"/>
        <v>6.2241214693793161</v>
      </c>
    </row>
    <row r="120" spans="1:10" x14ac:dyDescent="0.2">
      <c r="A120" s="2">
        <v>45504</v>
      </c>
      <c r="B120">
        <v>2.1250000000000002E-2</v>
      </c>
      <c r="C120">
        <v>100.22999673913044</v>
      </c>
      <c r="D120">
        <v>2.1789999999999997E-2</v>
      </c>
      <c r="F120" s="3">
        <v>6.7369863013698632</v>
      </c>
      <c r="G120" s="2">
        <f t="shared" si="10"/>
        <v>42947</v>
      </c>
      <c r="H120" s="2">
        <f t="shared" si="11"/>
        <v>43131</v>
      </c>
      <c r="I120">
        <f t="shared" si="8"/>
        <v>0.56589673913043481</v>
      </c>
      <c r="J120">
        <f t="shared" si="9"/>
        <v>6.2863828001916566</v>
      </c>
    </row>
    <row r="121" spans="1:10" x14ac:dyDescent="0.2">
      <c r="A121" s="2">
        <v>45519</v>
      </c>
      <c r="B121">
        <v>2.375E-2</v>
      </c>
      <c r="C121">
        <v>101.74656576086956</v>
      </c>
      <c r="D121">
        <v>2.1819999999999999E-2</v>
      </c>
      <c r="F121" s="3">
        <v>6.7780821917808218</v>
      </c>
      <c r="G121" s="2">
        <f t="shared" si="10"/>
        <v>42962</v>
      </c>
      <c r="H121" s="2">
        <f t="shared" si="11"/>
        <v>43146</v>
      </c>
      <c r="I121">
        <f t="shared" si="8"/>
        <v>0.53566576086956519</v>
      </c>
      <c r="J121">
        <f t="shared" si="9"/>
        <v>6.2822603915428967</v>
      </c>
    </row>
    <row r="122" spans="1:10" x14ac:dyDescent="0.2">
      <c r="A122" s="2">
        <v>45535</v>
      </c>
      <c r="B122">
        <v>1.8749999999999999E-2</v>
      </c>
      <c r="C122">
        <v>98.401730386740326</v>
      </c>
      <c r="D122">
        <v>2.1840000000000002E-2</v>
      </c>
      <c r="F122" s="3">
        <v>6.8219178082191778</v>
      </c>
      <c r="G122" s="2">
        <f t="shared" si="10"/>
        <v>42978</v>
      </c>
      <c r="H122" s="2">
        <f t="shared" si="11"/>
        <v>43159</v>
      </c>
      <c r="I122">
        <f t="shared" si="8"/>
        <v>0.34703038674033149</v>
      </c>
      <c r="J122">
        <f t="shared" si="9"/>
        <v>6.4184711426214527</v>
      </c>
    </row>
    <row r="123" spans="1:10" x14ac:dyDescent="0.2">
      <c r="A123" s="2">
        <v>45565</v>
      </c>
      <c r="B123">
        <v>2.1250000000000002E-2</v>
      </c>
      <c r="C123">
        <v>99.80190274725274</v>
      </c>
      <c r="D123">
        <v>2.1899999999999999E-2</v>
      </c>
      <c r="F123" s="3">
        <v>6.904109589041096</v>
      </c>
      <c r="G123" s="2">
        <f t="shared" si="10"/>
        <v>43008</v>
      </c>
      <c r="H123" s="2">
        <f t="shared" si="11"/>
        <v>43190</v>
      </c>
      <c r="I123">
        <f t="shared" si="8"/>
        <v>0.21600274725274726</v>
      </c>
      <c r="J123">
        <f t="shared" si="9"/>
        <v>6.4552218579112948</v>
      </c>
    </row>
    <row r="124" spans="1:10" x14ac:dyDescent="0.2">
      <c r="A124" s="2">
        <v>45596</v>
      </c>
      <c r="B124">
        <v>2.2499999999999999E-2</v>
      </c>
      <c r="C124">
        <v>100.38889281767956</v>
      </c>
      <c r="D124">
        <v>2.1949999999999997E-2</v>
      </c>
      <c r="F124" s="3">
        <v>6.9890410958904106</v>
      </c>
      <c r="G124" s="2">
        <f t="shared" si="10"/>
        <v>43039</v>
      </c>
      <c r="H124" s="2">
        <f t="shared" si="11"/>
        <v>43220</v>
      </c>
      <c r="I124">
        <f t="shared" si="8"/>
        <v>3.7292817679558013E-2</v>
      </c>
      <c r="J124">
        <f t="shared" si="9"/>
        <v>6.5181687041835614</v>
      </c>
    </row>
    <row r="125" spans="1:10" x14ac:dyDescent="0.2">
      <c r="A125" s="2">
        <v>45611</v>
      </c>
      <c r="B125">
        <v>2.2499999999999999E-2</v>
      </c>
      <c r="C125">
        <v>101.39807282608696</v>
      </c>
      <c r="D125">
        <v>2.1989999999999999E-2</v>
      </c>
      <c r="F125" s="3">
        <v>7.0301369863013701</v>
      </c>
      <c r="G125" s="2">
        <f t="shared" si="10"/>
        <v>42870</v>
      </c>
      <c r="H125" s="2">
        <f t="shared" si="11"/>
        <v>43054</v>
      </c>
      <c r="I125">
        <f t="shared" si="8"/>
        <v>1.0699728260869565</v>
      </c>
      <c r="J125">
        <f t="shared" si="9"/>
        <v>6.4879450138564385</v>
      </c>
    </row>
    <row r="126" spans="1:10" x14ac:dyDescent="0.2">
      <c r="A126" s="2">
        <v>45703</v>
      </c>
      <c r="B126">
        <v>0.02</v>
      </c>
      <c r="C126">
        <v>98.966686956521741</v>
      </c>
      <c r="D126">
        <v>2.222E-2</v>
      </c>
      <c r="F126" s="3">
        <v>7.2821917808219174</v>
      </c>
      <c r="G126" s="2">
        <f t="shared" si="10"/>
        <v>42962</v>
      </c>
      <c r="H126" s="2">
        <f t="shared" si="11"/>
        <v>43146</v>
      </c>
      <c r="I126">
        <f t="shared" si="8"/>
        <v>0.45108695652173914</v>
      </c>
      <c r="J126">
        <f t="shared" si="9"/>
        <v>6.7999635401160425</v>
      </c>
    </row>
    <row r="127" spans="1:10" x14ac:dyDescent="0.2">
      <c r="A127" s="2">
        <v>45792</v>
      </c>
      <c r="B127">
        <v>2.1250000000000002E-2</v>
      </c>
      <c r="C127">
        <v>100.26052989130434</v>
      </c>
      <c r="D127">
        <v>2.2339999999999999E-2</v>
      </c>
      <c r="F127" s="3">
        <v>7.5260273972602736</v>
      </c>
      <c r="G127" s="2">
        <f t="shared" si="10"/>
        <v>42870</v>
      </c>
      <c r="H127" s="2">
        <f t="shared" si="11"/>
        <v>43054</v>
      </c>
      <c r="I127">
        <f t="shared" si="8"/>
        <v>1.0105298913043479</v>
      </c>
      <c r="J127">
        <f t="shared" si="9"/>
        <v>6.9476378874091607</v>
      </c>
    </row>
    <row r="128" spans="1:10" x14ac:dyDescent="0.2">
      <c r="A128" s="10">
        <v>45884</v>
      </c>
      <c r="B128" s="9">
        <v>0.02</v>
      </c>
      <c r="C128" s="9">
        <v>98.646386956521738</v>
      </c>
      <c r="D128" s="9">
        <v>2.2540000000000001E-2</v>
      </c>
      <c r="E128" s="9"/>
      <c r="F128" s="11">
        <v>7.7780821917808218</v>
      </c>
      <c r="G128" s="10">
        <f t="shared" si="10"/>
        <v>42962</v>
      </c>
      <c r="H128" s="10">
        <f t="shared" si="11"/>
        <v>43146</v>
      </c>
      <c r="I128" s="9">
        <f t="shared" si="8"/>
        <v>0.45108695652173914</v>
      </c>
      <c r="J128" s="9">
        <f t="shared" si="9"/>
        <v>7.2375443058503119</v>
      </c>
    </row>
    <row r="129" spans="1:10" x14ac:dyDescent="0.2">
      <c r="A129" s="10">
        <v>45976</v>
      </c>
      <c r="B129" s="9">
        <v>2.2499999999999999E-2</v>
      </c>
      <c r="C129" s="9">
        <v>100.94497282608695</v>
      </c>
      <c r="D129" s="9">
        <v>2.2669999999999999E-2</v>
      </c>
      <c r="E129" s="9"/>
      <c r="F129" s="11">
        <v>8.0301369863013701</v>
      </c>
      <c r="G129" s="10">
        <f t="shared" si="10"/>
        <v>42870</v>
      </c>
      <c r="H129" s="10">
        <f t="shared" si="11"/>
        <v>43054</v>
      </c>
      <c r="I129" s="9">
        <f t="shared" si="8"/>
        <v>1.0699728260869565</v>
      </c>
      <c r="J129" s="9">
        <f t="shared" si="9"/>
        <v>7.3509006218819799</v>
      </c>
    </row>
    <row r="130" spans="1:10" x14ac:dyDescent="0.2">
      <c r="A130" s="2">
        <v>46068</v>
      </c>
      <c r="B130">
        <v>1.6250000000000001E-2</v>
      </c>
      <c r="C130">
        <v>95.397808152173909</v>
      </c>
      <c r="D130">
        <v>2.2869999999999998E-2</v>
      </c>
      <c r="F130" s="3">
        <v>8.2821917808219183</v>
      </c>
      <c r="G130" s="2">
        <f t="shared" si="10"/>
        <v>42962</v>
      </c>
      <c r="H130" s="2">
        <f t="shared" si="11"/>
        <v>43146</v>
      </c>
      <c r="I130">
        <f t="shared" si="8"/>
        <v>0.36650815217391303</v>
      </c>
      <c r="J130">
        <f t="shared" si="9"/>
        <v>7.7854646296813117</v>
      </c>
    </row>
    <row r="131" spans="1:10" x14ac:dyDescent="0.2">
      <c r="A131" s="12">
        <v>46157</v>
      </c>
      <c r="B131" s="13">
        <v>1.6250000000000001E-2</v>
      </c>
      <c r="C131" s="13">
        <v>95.577458152173904</v>
      </c>
      <c r="D131" s="13">
        <v>2.3E-2</v>
      </c>
      <c r="E131" s="13"/>
      <c r="F131" s="14">
        <v>8.5260273972602736</v>
      </c>
      <c r="G131" s="12">
        <f t="shared" ref="G131:G162" si="12">COUPPCD($A$1,A131,2,1)</f>
        <v>42870</v>
      </c>
      <c r="H131" s="12">
        <f t="shared" ref="H131:H162" si="13">COUPNCD($A$1,A131,2,1)</f>
        <v>43054</v>
      </c>
      <c r="I131" s="13">
        <f t="shared" ref="I131:I182" si="14">100*B131/2*($A$1-G131)/(H131-G131)</f>
        <v>0.77275815217391308</v>
      </c>
      <c r="J131" s="13">
        <f t="shared" si="9"/>
        <v>7.9682939649586881</v>
      </c>
    </row>
    <row r="132" spans="1:10" x14ac:dyDescent="0.2">
      <c r="A132" s="12">
        <v>46249</v>
      </c>
      <c r="B132" s="13">
        <v>1.4999999999999999E-2</v>
      </c>
      <c r="C132" s="13">
        <v>93.932115217391299</v>
      </c>
      <c r="D132" s="13">
        <v>2.3109999999999999E-2</v>
      </c>
      <c r="E132" s="13"/>
      <c r="F132" s="14">
        <v>8.7780821917808218</v>
      </c>
      <c r="G132" s="12">
        <f t="shared" si="12"/>
        <v>42962</v>
      </c>
      <c r="H132" s="12">
        <f t="shared" si="13"/>
        <v>43146</v>
      </c>
      <c r="I132" s="13">
        <f t="shared" si="14"/>
        <v>0.33831521739130432</v>
      </c>
      <c r="J132" s="13">
        <f t="shared" ref="J132:J182" si="15">getFWDuration2($A$1,A132,B132,C132,$U$4,$U$5,$U$6,$U$7,$U$8,$U$9,$U$10,$U$11,$U$14,$U$15,$U$16,$U$17)</f>
        <v>8.2657523921677392</v>
      </c>
    </row>
    <row r="133" spans="1:10" x14ac:dyDescent="0.2">
      <c r="A133" s="2">
        <v>46341</v>
      </c>
      <c r="B133">
        <v>0.02</v>
      </c>
      <c r="C133">
        <v>98.372986956521729</v>
      </c>
      <c r="D133">
        <v>2.3179999999999999E-2</v>
      </c>
      <c r="F133" s="3">
        <v>9.0301369863013701</v>
      </c>
      <c r="G133" s="2">
        <f t="shared" si="12"/>
        <v>42870</v>
      </c>
      <c r="H133" s="2">
        <f t="shared" si="13"/>
        <v>43054</v>
      </c>
      <c r="I133">
        <f t="shared" si="14"/>
        <v>0.95108695652173914</v>
      </c>
      <c r="J133">
        <f t="shared" si="15"/>
        <v>8.2746827360517514</v>
      </c>
    </row>
    <row r="134" spans="1:10" x14ac:dyDescent="0.2">
      <c r="A134" s="2">
        <v>46433</v>
      </c>
      <c r="B134">
        <v>2.2499999999999999E-2</v>
      </c>
      <c r="C134">
        <v>99.843372826086949</v>
      </c>
      <c r="D134">
        <v>2.3300000000000001E-2</v>
      </c>
      <c r="F134" s="3">
        <v>9.2821917808219183</v>
      </c>
      <c r="G134" s="2">
        <f t="shared" si="12"/>
        <v>42962</v>
      </c>
      <c r="H134" s="2">
        <f t="shared" si="13"/>
        <v>43146</v>
      </c>
      <c r="I134">
        <f t="shared" si="14"/>
        <v>0.50747282608695654</v>
      </c>
      <c r="J134">
        <f t="shared" si="15"/>
        <v>8.4478698834959332</v>
      </c>
    </row>
    <row r="135" spans="1:10" x14ac:dyDescent="0.2">
      <c r="A135" s="2">
        <v>46522</v>
      </c>
      <c r="B135">
        <v>2.375E-2</v>
      </c>
      <c r="C135">
        <v>101.48101576086957</v>
      </c>
      <c r="D135">
        <v>2.334E-2</v>
      </c>
      <c r="F135" s="3">
        <v>9.5260273972602736</v>
      </c>
      <c r="G135" s="2">
        <f t="shared" si="12"/>
        <v>42870</v>
      </c>
      <c r="H135" s="2">
        <f t="shared" si="13"/>
        <v>43054</v>
      </c>
      <c r="I135">
        <f t="shared" si="14"/>
        <v>1.1294157608695652</v>
      </c>
      <c r="J135">
        <f t="shared" si="15"/>
        <v>8.550822337340561</v>
      </c>
    </row>
    <row r="136" spans="1:10" x14ac:dyDescent="0.2">
      <c r="A136" s="2">
        <v>46614</v>
      </c>
      <c r="B136">
        <v>2.2499999999999999E-2</v>
      </c>
      <c r="C136">
        <v>99.718372826086949</v>
      </c>
      <c r="D136">
        <v>2.341E-2</v>
      </c>
      <c r="F136" s="3">
        <v>9.7780821917808218</v>
      </c>
      <c r="G136" s="2">
        <f t="shared" si="12"/>
        <v>42962</v>
      </c>
      <c r="H136" s="2">
        <f t="shared" si="13"/>
        <v>43146</v>
      </c>
      <c r="I136">
        <f t="shared" si="14"/>
        <v>0.50747282608695654</v>
      </c>
      <c r="J136">
        <f t="shared" si="15"/>
        <v>8.8452344639533216</v>
      </c>
    </row>
    <row r="137" spans="1:10" x14ac:dyDescent="0.2">
      <c r="A137" s="2">
        <v>46980</v>
      </c>
      <c r="B137">
        <v>5.5E-2</v>
      </c>
      <c r="C137">
        <v>131.25608913043479</v>
      </c>
      <c r="D137">
        <v>2.3330000000000004E-2</v>
      </c>
      <c r="F137" s="3">
        <v>10.780821917808218</v>
      </c>
      <c r="G137" s="2">
        <f t="shared" si="12"/>
        <v>42962</v>
      </c>
      <c r="H137" s="2">
        <f t="shared" si="13"/>
        <v>43146</v>
      </c>
      <c r="I137">
        <f t="shared" si="14"/>
        <v>1.2404891304347827</v>
      </c>
      <c r="J137">
        <f t="shared" si="15"/>
        <v>8.5672414478356451</v>
      </c>
    </row>
    <row r="138" spans="1:10" x14ac:dyDescent="0.2">
      <c r="A138" s="2">
        <v>47072</v>
      </c>
      <c r="B138">
        <v>5.2499999999999998E-2</v>
      </c>
      <c r="C138">
        <v>130.66850326086956</v>
      </c>
      <c r="D138">
        <v>2.3370000000000002E-2</v>
      </c>
      <c r="F138" s="3">
        <v>11.032876712328767</v>
      </c>
      <c r="G138" s="2">
        <f t="shared" si="12"/>
        <v>42870</v>
      </c>
      <c r="H138" s="2">
        <f t="shared" si="13"/>
        <v>43054</v>
      </c>
      <c r="I138">
        <f t="shared" si="14"/>
        <v>2.4966032608695654</v>
      </c>
      <c r="J138">
        <f t="shared" si="15"/>
        <v>8.6894535494266858</v>
      </c>
    </row>
    <row r="139" spans="1:10" x14ac:dyDescent="0.2">
      <c r="A139" s="2">
        <v>47164</v>
      </c>
      <c r="B139">
        <v>5.2499999999999998E-2</v>
      </c>
      <c r="C139">
        <v>129.80130326086956</v>
      </c>
      <c r="D139">
        <v>2.3460000000000002E-2</v>
      </c>
      <c r="F139" s="3">
        <v>11.284931506849315</v>
      </c>
      <c r="G139" s="2">
        <f t="shared" si="12"/>
        <v>42962</v>
      </c>
      <c r="H139" s="2">
        <f t="shared" si="13"/>
        <v>43146</v>
      </c>
      <c r="I139">
        <f t="shared" si="14"/>
        <v>1.1841032608695652</v>
      </c>
      <c r="J139">
        <f t="shared" si="15"/>
        <v>8.9329546534190527</v>
      </c>
    </row>
    <row r="140" spans="1:10" x14ac:dyDescent="0.2">
      <c r="A140" s="2">
        <v>47345</v>
      </c>
      <c r="B140">
        <v>6.1249999999999999E-2</v>
      </c>
      <c r="C140">
        <v>139.9830538043478</v>
      </c>
      <c r="D140">
        <v>2.3519999999999999E-2</v>
      </c>
      <c r="F140" s="3">
        <v>11.780821917808218</v>
      </c>
      <c r="G140" s="2">
        <f t="shared" si="12"/>
        <v>42962</v>
      </c>
      <c r="H140" s="2">
        <f t="shared" si="13"/>
        <v>43146</v>
      </c>
      <c r="I140">
        <f t="shared" si="14"/>
        <v>1.3814538043478262</v>
      </c>
      <c r="J140">
        <f t="shared" si="15"/>
        <v>8.9945779597058149</v>
      </c>
    </row>
    <row r="141" spans="1:10" x14ac:dyDescent="0.2">
      <c r="A141" s="2">
        <v>47618</v>
      </c>
      <c r="B141">
        <v>6.25E-2</v>
      </c>
      <c r="C141">
        <v>144.75344673913042</v>
      </c>
      <c r="D141">
        <v>2.3740000000000001E-2</v>
      </c>
      <c r="F141" s="3">
        <v>12.528767123287672</v>
      </c>
      <c r="G141" s="2">
        <f t="shared" si="12"/>
        <v>42870</v>
      </c>
      <c r="H141" s="2">
        <f t="shared" si="13"/>
        <v>43054</v>
      </c>
      <c r="I141">
        <f t="shared" si="14"/>
        <v>2.9721467391304346</v>
      </c>
      <c r="J141">
        <f t="shared" si="15"/>
        <v>9.2668417381523138</v>
      </c>
    </row>
    <row r="142" spans="1:10" x14ac:dyDescent="0.2">
      <c r="A142" s="2">
        <v>47894</v>
      </c>
      <c r="B142">
        <v>5.3749999999999999E-2</v>
      </c>
      <c r="C142">
        <v>135.05609619565217</v>
      </c>
      <c r="D142">
        <v>2.3849999999999996E-2</v>
      </c>
      <c r="F142" s="3">
        <v>13.284931506849315</v>
      </c>
      <c r="G142" s="2">
        <f t="shared" si="12"/>
        <v>42962</v>
      </c>
      <c r="H142" s="2">
        <f t="shared" si="13"/>
        <v>43146</v>
      </c>
      <c r="I142">
        <f t="shared" si="14"/>
        <v>1.2122961956521738</v>
      </c>
      <c r="J142">
        <f t="shared" si="15"/>
        <v>9.9955473206708927</v>
      </c>
    </row>
    <row r="143" spans="1:10" x14ac:dyDescent="0.2">
      <c r="A143" s="2">
        <v>49720</v>
      </c>
      <c r="B143">
        <v>4.4999999999999998E-2</v>
      </c>
      <c r="C143">
        <v>130.09304565217391</v>
      </c>
      <c r="D143">
        <v>2.5070000000000002E-2</v>
      </c>
      <c r="F143" s="3">
        <v>18.287671232876711</v>
      </c>
      <c r="G143" s="2">
        <f t="shared" si="12"/>
        <v>42962</v>
      </c>
      <c r="H143" s="2">
        <f t="shared" si="13"/>
        <v>43146</v>
      </c>
      <c r="I143">
        <f t="shared" si="14"/>
        <v>1.0149456521739131</v>
      </c>
      <c r="J143">
        <f t="shared" si="15"/>
        <v>12.867112420821808</v>
      </c>
    </row>
    <row r="144" spans="1:10" x14ac:dyDescent="0.2">
      <c r="A144" s="2">
        <v>50086</v>
      </c>
      <c r="B144">
        <v>4.7500000000000001E-2</v>
      </c>
      <c r="C144">
        <v>134.39163152173913</v>
      </c>
      <c r="D144">
        <v>2.5510000000000001E-2</v>
      </c>
      <c r="F144" s="3">
        <v>19.290410958904111</v>
      </c>
      <c r="G144" s="2">
        <f t="shared" si="12"/>
        <v>42962</v>
      </c>
      <c r="H144" s="2">
        <f t="shared" si="13"/>
        <v>43146</v>
      </c>
      <c r="I144">
        <f t="shared" si="14"/>
        <v>1.0713315217391304</v>
      </c>
      <c r="J144">
        <f t="shared" si="15"/>
        <v>13.300595552118832</v>
      </c>
    </row>
    <row r="145" spans="1:10" x14ac:dyDescent="0.2">
      <c r="A145" s="2">
        <v>50175</v>
      </c>
      <c r="B145">
        <v>0.05</v>
      </c>
      <c r="C145">
        <v>139.62771739130434</v>
      </c>
      <c r="D145">
        <v>2.563E-2</v>
      </c>
      <c r="F145" s="3">
        <v>19.534246575342465</v>
      </c>
      <c r="G145" s="2">
        <f t="shared" si="12"/>
        <v>42870</v>
      </c>
      <c r="H145" s="2">
        <f t="shared" si="13"/>
        <v>43054</v>
      </c>
      <c r="I145">
        <f t="shared" si="14"/>
        <v>2.3777173913043477</v>
      </c>
      <c r="J145">
        <f t="shared" si="15"/>
        <v>13.197731039594721</v>
      </c>
    </row>
    <row r="146" spans="1:10" x14ac:dyDescent="0.2">
      <c r="A146" s="2">
        <v>50451</v>
      </c>
      <c r="B146">
        <v>4.3749999999999997E-2</v>
      </c>
      <c r="C146">
        <v>128.68985271739132</v>
      </c>
      <c r="D146">
        <v>2.6070000000000003E-2</v>
      </c>
      <c r="F146" s="3">
        <v>20.290410958904111</v>
      </c>
      <c r="G146" s="2">
        <f t="shared" si="12"/>
        <v>42962</v>
      </c>
      <c r="H146" s="2">
        <f t="shared" si="13"/>
        <v>43146</v>
      </c>
      <c r="I146">
        <f t="shared" si="14"/>
        <v>0.98675271739130432</v>
      </c>
      <c r="J146">
        <f t="shared" si="15"/>
        <v>14.094222225122781</v>
      </c>
    </row>
    <row r="147" spans="1:10" x14ac:dyDescent="0.2">
      <c r="A147" s="2">
        <v>50540</v>
      </c>
      <c r="B147">
        <v>4.4999999999999998E-2</v>
      </c>
      <c r="C147">
        <v>131.96024565217391</v>
      </c>
      <c r="D147">
        <v>2.614E-2</v>
      </c>
      <c r="F147" s="3">
        <v>20.534246575342465</v>
      </c>
      <c r="G147" s="2">
        <f t="shared" si="12"/>
        <v>42870</v>
      </c>
      <c r="H147" s="2">
        <f t="shared" si="13"/>
        <v>43054</v>
      </c>
      <c r="I147">
        <f t="shared" si="14"/>
        <v>2.1399456521739131</v>
      </c>
      <c r="J147">
        <f t="shared" si="15"/>
        <v>14.033720395089514</v>
      </c>
    </row>
    <row r="148" spans="1:10" x14ac:dyDescent="0.2">
      <c r="A148" s="2">
        <v>50816</v>
      </c>
      <c r="B148">
        <v>3.5000000000000003E-2</v>
      </c>
      <c r="C148">
        <v>114.43000217391305</v>
      </c>
      <c r="D148">
        <v>2.656E-2</v>
      </c>
      <c r="F148" s="3">
        <v>21.290410958904111</v>
      </c>
      <c r="G148" s="2">
        <f t="shared" si="12"/>
        <v>42962</v>
      </c>
      <c r="H148" s="2">
        <f t="shared" si="13"/>
        <v>43146</v>
      </c>
      <c r="I148">
        <f t="shared" si="14"/>
        <v>0.78940217391304368</v>
      </c>
      <c r="J148">
        <f t="shared" si="15"/>
        <v>15.297669105537514</v>
      </c>
    </row>
    <row r="149" spans="1:10" x14ac:dyDescent="0.2">
      <c r="A149" s="2">
        <v>50905</v>
      </c>
      <c r="B149">
        <v>4.2500000000000003E-2</v>
      </c>
      <c r="C149">
        <v>127.8882597826087</v>
      </c>
      <c r="D149">
        <v>2.6629999999999997E-2</v>
      </c>
      <c r="F149" s="3">
        <v>21.534246575342465</v>
      </c>
      <c r="G149" s="2">
        <f t="shared" si="12"/>
        <v>42870</v>
      </c>
      <c r="H149" s="2">
        <f t="shared" si="13"/>
        <v>43054</v>
      </c>
      <c r="I149">
        <f t="shared" si="14"/>
        <v>2.0210597826086958</v>
      </c>
      <c r="J149">
        <f t="shared" si="15"/>
        <v>14.77730006088499</v>
      </c>
    </row>
    <row r="150" spans="1:10" x14ac:dyDescent="0.2">
      <c r="A150" s="2">
        <v>50997</v>
      </c>
      <c r="B150">
        <v>4.4999999999999998E-2</v>
      </c>
      <c r="C150">
        <v>131.10874565217389</v>
      </c>
      <c r="D150">
        <v>2.6690000000000002E-2</v>
      </c>
      <c r="F150" s="3">
        <v>21.786301369863015</v>
      </c>
      <c r="G150" s="2">
        <f t="shared" si="12"/>
        <v>42962</v>
      </c>
      <c r="H150" s="2">
        <f t="shared" si="13"/>
        <v>43146</v>
      </c>
      <c r="I150">
        <f t="shared" si="14"/>
        <v>1.0149456521739131</v>
      </c>
      <c r="J150">
        <f t="shared" si="15"/>
        <v>14.878294546246053</v>
      </c>
    </row>
    <row r="151" spans="1:10" x14ac:dyDescent="0.2">
      <c r="A151" s="2">
        <v>51089</v>
      </c>
      <c r="B151">
        <v>4.3749999999999997E-2</v>
      </c>
      <c r="C151">
        <v>130.12740271739131</v>
      </c>
      <c r="D151">
        <v>2.681E-2</v>
      </c>
      <c r="F151" s="3">
        <v>22.038356164383561</v>
      </c>
      <c r="G151" s="2">
        <f t="shared" si="12"/>
        <v>42870</v>
      </c>
      <c r="H151" s="2">
        <f t="shared" si="13"/>
        <v>43054</v>
      </c>
      <c r="I151">
        <f t="shared" si="14"/>
        <v>2.0805027173913042</v>
      </c>
      <c r="J151">
        <f t="shared" si="15"/>
        <v>14.975457130585003</v>
      </c>
    </row>
    <row r="152" spans="1:10" x14ac:dyDescent="0.2">
      <c r="A152" s="2">
        <v>51181</v>
      </c>
      <c r="B152">
        <v>4.6249999999999999E-2</v>
      </c>
      <c r="C152">
        <v>133.44943858695652</v>
      </c>
      <c r="D152">
        <v>2.683E-2</v>
      </c>
      <c r="F152" s="3">
        <v>22.290410958904111</v>
      </c>
      <c r="G152" s="2">
        <f t="shared" si="12"/>
        <v>42962</v>
      </c>
      <c r="H152" s="2">
        <f t="shared" si="13"/>
        <v>43146</v>
      </c>
      <c r="I152">
        <f t="shared" si="14"/>
        <v>1.0431385869565217</v>
      </c>
      <c r="J152">
        <f t="shared" si="15"/>
        <v>15.070977630684462</v>
      </c>
    </row>
    <row r="153" spans="1:10" x14ac:dyDescent="0.2">
      <c r="A153" s="2">
        <v>51271</v>
      </c>
      <c r="B153">
        <v>4.3749999999999997E-2</v>
      </c>
      <c r="C153">
        <v>130.3071027173913</v>
      </c>
      <c r="D153">
        <v>2.6949999999999998E-2</v>
      </c>
      <c r="F153" s="3">
        <v>22.536986301369861</v>
      </c>
      <c r="G153" s="2">
        <f t="shared" si="12"/>
        <v>42870</v>
      </c>
      <c r="H153" s="2">
        <f t="shared" si="13"/>
        <v>43054</v>
      </c>
      <c r="I153">
        <f t="shared" si="14"/>
        <v>2.0805027173913042</v>
      </c>
      <c r="J153">
        <f t="shared" si="15"/>
        <v>15.244542600416921</v>
      </c>
    </row>
    <row r="154" spans="1:10" x14ac:dyDescent="0.2">
      <c r="A154" s="2">
        <v>51363</v>
      </c>
      <c r="B154">
        <v>3.875E-2</v>
      </c>
      <c r="C154">
        <v>120.56148097826087</v>
      </c>
      <c r="D154">
        <v>2.7109999999999999E-2</v>
      </c>
      <c r="F154" s="3">
        <v>22.789041095890411</v>
      </c>
      <c r="G154" s="2">
        <f t="shared" si="12"/>
        <v>42962</v>
      </c>
      <c r="H154" s="2">
        <f t="shared" si="13"/>
        <v>43146</v>
      </c>
      <c r="I154">
        <f t="shared" si="14"/>
        <v>0.87398097826086951</v>
      </c>
      <c r="J154">
        <f t="shared" si="15"/>
        <v>15.890520135997145</v>
      </c>
    </row>
    <row r="155" spans="1:10" x14ac:dyDescent="0.2">
      <c r="A155" s="2">
        <v>51455</v>
      </c>
      <c r="B155">
        <v>4.2500000000000003E-2</v>
      </c>
      <c r="C155">
        <v>128.26325978260869</v>
      </c>
      <c r="D155">
        <v>2.7099999999999999E-2</v>
      </c>
      <c r="F155" s="3">
        <v>23.041095890410958</v>
      </c>
      <c r="G155" s="2">
        <f t="shared" si="12"/>
        <v>42870</v>
      </c>
      <c r="H155" s="2">
        <f t="shared" si="13"/>
        <v>43054</v>
      </c>
      <c r="I155">
        <f t="shared" si="14"/>
        <v>2.0210597826086958</v>
      </c>
      <c r="J155">
        <f t="shared" si="15"/>
        <v>15.600021830503987</v>
      </c>
    </row>
    <row r="156" spans="1:10" x14ac:dyDescent="0.2">
      <c r="A156" s="2">
        <v>51547</v>
      </c>
      <c r="B156">
        <v>4.7500000000000001E-2</v>
      </c>
      <c r="C156">
        <v>136.20413152173913</v>
      </c>
      <c r="D156">
        <v>2.7060000000000001E-2</v>
      </c>
      <c r="F156" s="3">
        <v>23.293150684931508</v>
      </c>
      <c r="G156" s="2">
        <f t="shared" si="12"/>
        <v>42962</v>
      </c>
      <c r="H156" s="2">
        <f t="shared" si="13"/>
        <v>43146</v>
      </c>
      <c r="I156">
        <f t="shared" si="14"/>
        <v>1.0713315217391304</v>
      </c>
      <c r="J156">
        <f t="shared" si="15"/>
        <v>15.504024397928454</v>
      </c>
    </row>
    <row r="157" spans="1:10" x14ac:dyDescent="0.2">
      <c r="A157" s="2">
        <v>51636</v>
      </c>
      <c r="B157">
        <v>4.3749999999999997E-2</v>
      </c>
      <c r="C157">
        <v>130.7446027173913</v>
      </c>
      <c r="D157">
        <v>2.7179999999999999E-2</v>
      </c>
      <c r="F157" s="3">
        <v>23.536986301369861</v>
      </c>
      <c r="G157" s="2">
        <f t="shared" si="12"/>
        <v>42870</v>
      </c>
      <c r="H157" s="2">
        <f t="shared" si="13"/>
        <v>43054</v>
      </c>
      <c r="I157">
        <f t="shared" si="14"/>
        <v>2.0805027173913042</v>
      </c>
      <c r="J157">
        <f t="shared" si="15"/>
        <v>15.755185898996253</v>
      </c>
    </row>
    <row r="158" spans="1:10" x14ac:dyDescent="0.2">
      <c r="A158" s="2">
        <v>51728</v>
      </c>
      <c r="B158">
        <v>3.7499999999999999E-2</v>
      </c>
      <c r="C158">
        <v>118.56458804347827</v>
      </c>
      <c r="D158">
        <v>2.7320000000000001E-2</v>
      </c>
      <c r="F158" s="3">
        <v>23.789041095890411</v>
      </c>
      <c r="G158" s="2">
        <f t="shared" si="12"/>
        <v>42962</v>
      </c>
      <c r="H158" s="2">
        <f t="shared" si="13"/>
        <v>43146</v>
      </c>
      <c r="I158">
        <f t="shared" si="14"/>
        <v>0.84578804347826086</v>
      </c>
      <c r="J158">
        <f t="shared" si="15"/>
        <v>16.515901764139848</v>
      </c>
    </row>
    <row r="159" spans="1:10" x14ac:dyDescent="0.2">
      <c r="A159" s="2">
        <v>51820</v>
      </c>
      <c r="B159">
        <v>3.125E-2</v>
      </c>
      <c r="C159">
        <v>108.05637336956522</v>
      </c>
      <c r="D159">
        <v>2.75E-2</v>
      </c>
      <c r="F159" s="3">
        <v>24.041095890410958</v>
      </c>
      <c r="G159" s="2">
        <f t="shared" si="12"/>
        <v>42870</v>
      </c>
      <c r="H159" s="2">
        <f t="shared" si="13"/>
        <v>43054</v>
      </c>
      <c r="I159">
        <f t="shared" si="14"/>
        <v>1.4860733695652173</v>
      </c>
      <c r="J159">
        <f t="shared" si="15"/>
        <v>17.138697533306754</v>
      </c>
    </row>
    <row r="160" spans="1:10" x14ac:dyDescent="0.2">
      <c r="A160" s="2">
        <v>51912</v>
      </c>
      <c r="B160">
        <v>3.125E-2</v>
      </c>
      <c r="C160">
        <v>107.22822336956521</v>
      </c>
      <c r="D160">
        <v>2.7549999999999998E-2</v>
      </c>
      <c r="F160" s="3">
        <v>24.293150684931508</v>
      </c>
      <c r="G160" s="2">
        <f t="shared" si="12"/>
        <v>42962</v>
      </c>
      <c r="H160" s="2">
        <f t="shared" si="13"/>
        <v>43146</v>
      </c>
      <c r="I160">
        <f t="shared" si="14"/>
        <v>0.70482336956521741</v>
      </c>
      <c r="J160">
        <f t="shared" si="15"/>
        <v>17.396455495473084</v>
      </c>
    </row>
    <row r="161" spans="1:10" x14ac:dyDescent="0.2">
      <c r="A161" s="2">
        <v>52001</v>
      </c>
      <c r="B161">
        <v>0.03</v>
      </c>
      <c r="C161">
        <v>105.69223043478262</v>
      </c>
      <c r="D161">
        <v>2.759E-2</v>
      </c>
      <c r="F161" s="3">
        <v>24.536986301369861</v>
      </c>
      <c r="G161" s="2">
        <f t="shared" si="12"/>
        <v>42870</v>
      </c>
      <c r="H161" s="2">
        <f t="shared" si="13"/>
        <v>43054</v>
      </c>
      <c r="I161">
        <f t="shared" si="14"/>
        <v>1.4266304347826086</v>
      </c>
      <c r="J161">
        <f t="shared" si="15"/>
        <v>17.531692487605056</v>
      </c>
    </row>
    <row r="162" spans="1:10" x14ac:dyDescent="0.2">
      <c r="A162" s="2">
        <v>52093</v>
      </c>
      <c r="B162">
        <v>2.75E-2</v>
      </c>
      <c r="C162">
        <v>100.23744456521739</v>
      </c>
      <c r="D162">
        <v>2.7709999999999999E-2</v>
      </c>
      <c r="F162" s="3">
        <v>24.789041095890411</v>
      </c>
      <c r="G162" s="2">
        <f t="shared" si="12"/>
        <v>42962</v>
      </c>
      <c r="H162" s="2">
        <f t="shared" si="13"/>
        <v>43146</v>
      </c>
      <c r="I162">
        <f t="shared" si="14"/>
        <v>0.62024456521739135</v>
      </c>
      <c r="J162">
        <f t="shared" si="15"/>
        <v>18.099641182894317</v>
      </c>
    </row>
    <row r="163" spans="1:10" x14ac:dyDescent="0.2">
      <c r="A163" s="2">
        <v>52185</v>
      </c>
      <c r="B163">
        <v>2.75E-2</v>
      </c>
      <c r="C163">
        <v>100.77654456521739</v>
      </c>
      <c r="D163">
        <v>2.7799999999999998E-2</v>
      </c>
      <c r="F163" s="3">
        <v>25.041095890410958</v>
      </c>
      <c r="G163" s="2">
        <f t="shared" ref="G163:G182" si="16">COUPPCD($A$1,A163,2,1)</f>
        <v>42870</v>
      </c>
      <c r="H163" s="2">
        <f t="shared" ref="H163:H182" si="17">COUPNCD($A$1,A163,2,1)</f>
        <v>43054</v>
      </c>
      <c r="I163">
        <f t="shared" si="14"/>
        <v>1.3077445652173914</v>
      </c>
      <c r="J163">
        <f t="shared" si="15"/>
        <v>18.110252404451934</v>
      </c>
    </row>
    <row r="164" spans="1:10" x14ac:dyDescent="0.2">
      <c r="A164" s="2">
        <v>52277</v>
      </c>
      <c r="B164">
        <v>3.125E-2</v>
      </c>
      <c r="C164">
        <v>106.97042336956522</v>
      </c>
      <c r="D164">
        <v>2.7779999999999999E-2</v>
      </c>
      <c r="F164" s="3">
        <v>25.293150684931508</v>
      </c>
      <c r="G164" s="2">
        <f t="shared" si="16"/>
        <v>42962</v>
      </c>
      <c r="H164" s="2">
        <f t="shared" si="17"/>
        <v>43146</v>
      </c>
      <c r="I164">
        <f t="shared" si="14"/>
        <v>0.70482336956521741</v>
      </c>
      <c r="J164">
        <f t="shared" si="15"/>
        <v>17.89856166730215</v>
      </c>
    </row>
    <row r="165" spans="1:10" x14ac:dyDescent="0.2">
      <c r="A165" s="2">
        <v>52366</v>
      </c>
      <c r="B165">
        <v>2.8750000000000001E-2</v>
      </c>
      <c r="C165">
        <v>103.00778750000001</v>
      </c>
      <c r="D165">
        <v>2.785E-2</v>
      </c>
      <c r="F165" s="3">
        <v>25.536986301369861</v>
      </c>
      <c r="G165" s="2">
        <f t="shared" si="16"/>
        <v>42870</v>
      </c>
      <c r="H165" s="2">
        <f t="shared" si="17"/>
        <v>43054</v>
      </c>
      <c r="I165">
        <f t="shared" si="14"/>
        <v>1.3671875</v>
      </c>
      <c r="J165">
        <f t="shared" si="15"/>
        <v>18.176043985901195</v>
      </c>
    </row>
    <row r="166" spans="1:10" x14ac:dyDescent="0.2">
      <c r="A166" s="2">
        <v>52458</v>
      </c>
      <c r="B166">
        <v>3.6249999999999998E-2</v>
      </c>
      <c r="C166">
        <v>116.36449510869565</v>
      </c>
      <c r="D166">
        <v>2.7759999999999996E-2</v>
      </c>
      <c r="F166" s="3">
        <v>25.789041095890411</v>
      </c>
      <c r="G166" s="2">
        <f t="shared" si="16"/>
        <v>42962</v>
      </c>
      <c r="H166" s="2">
        <f t="shared" si="17"/>
        <v>43146</v>
      </c>
      <c r="I166">
        <f t="shared" si="14"/>
        <v>0.817595108695652</v>
      </c>
      <c r="J166">
        <f t="shared" si="15"/>
        <v>17.572610089327839</v>
      </c>
    </row>
    <row r="167" spans="1:10" x14ac:dyDescent="0.2">
      <c r="A167" s="2">
        <v>52550</v>
      </c>
      <c r="B167">
        <v>3.7499999999999999E-2</v>
      </c>
      <c r="C167">
        <v>119.78328804347827</v>
      </c>
      <c r="D167">
        <v>2.7740000000000001E-2</v>
      </c>
      <c r="F167" s="3">
        <v>26.041095890410958</v>
      </c>
      <c r="G167" s="2">
        <f t="shared" si="16"/>
        <v>42870</v>
      </c>
      <c r="H167" s="2">
        <f t="shared" si="17"/>
        <v>43054</v>
      </c>
      <c r="I167">
        <f t="shared" si="14"/>
        <v>1.783288043478261</v>
      </c>
      <c r="J167">
        <f t="shared" si="15"/>
        <v>17.396930461289379</v>
      </c>
    </row>
    <row r="168" spans="1:10" x14ac:dyDescent="0.2">
      <c r="A168" s="2">
        <v>52642</v>
      </c>
      <c r="B168">
        <v>3.6249999999999998E-2</v>
      </c>
      <c r="C168">
        <v>116.54419510869566</v>
      </c>
      <c r="D168">
        <v>2.7779999999999999E-2</v>
      </c>
      <c r="F168" s="3">
        <v>26.293150684931508</v>
      </c>
      <c r="G168" s="2">
        <f t="shared" si="16"/>
        <v>42962</v>
      </c>
      <c r="H168" s="2">
        <f t="shared" si="17"/>
        <v>43146</v>
      </c>
      <c r="I168">
        <f t="shared" si="14"/>
        <v>0.817595108695652</v>
      </c>
      <c r="J168">
        <f t="shared" si="15"/>
        <v>17.742086009243458</v>
      </c>
    </row>
    <row r="169" spans="1:10" x14ac:dyDescent="0.2">
      <c r="A169" s="2">
        <v>52732</v>
      </c>
      <c r="B169">
        <v>3.3750000000000002E-2</v>
      </c>
      <c r="C169">
        <v>112.63625923913044</v>
      </c>
      <c r="D169">
        <v>2.7839999999999997E-2</v>
      </c>
      <c r="F169" s="3">
        <v>26.539726027397261</v>
      </c>
      <c r="G169" s="2">
        <f t="shared" si="16"/>
        <v>42870</v>
      </c>
      <c r="H169" s="2">
        <f t="shared" si="17"/>
        <v>43054</v>
      </c>
      <c r="I169">
        <f t="shared" si="14"/>
        <v>1.6049592391304348</v>
      </c>
      <c r="J169">
        <f t="shared" si="15"/>
        <v>17.948263778991077</v>
      </c>
    </row>
    <row r="170" spans="1:10" x14ac:dyDescent="0.2">
      <c r="A170" s="2">
        <v>52824</v>
      </c>
      <c r="B170">
        <v>3.125E-2</v>
      </c>
      <c r="C170">
        <v>106.98612336956522</v>
      </c>
      <c r="D170">
        <v>2.7900000000000001E-2</v>
      </c>
      <c r="F170" s="3">
        <v>26.791780821917808</v>
      </c>
      <c r="G170" s="2">
        <f t="shared" si="16"/>
        <v>42962</v>
      </c>
      <c r="H170" s="2">
        <f t="shared" si="17"/>
        <v>43146</v>
      </c>
      <c r="I170">
        <f t="shared" si="14"/>
        <v>0.70482336956521741</v>
      </c>
      <c r="J170">
        <f t="shared" si="15"/>
        <v>18.447409304958605</v>
      </c>
    </row>
    <row r="171" spans="1:10" x14ac:dyDescent="0.2">
      <c r="A171" s="2">
        <v>52916</v>
      </c>
      <c r="B171">
        <v>0.03</v>
      </c>
      <c r="C171">
        <v>105.30943043478261</v>
      </c>
      <c r="D171">
        <v>2.794E-2</v>
      </c>
      <c r="F171" s="3">
        <v>27.043835616438358</v>
      </c>
      <c r="G171" s="2">
        <f t="shared" si="16"/>
        <v>42870</v>
      </c>
      <c r="H171" s="2">
        <f t="shared" si="17"/>
        <v>43054</v>
      </c>
      <c r="I171">
        <f t="shared" si="14"/>
        <v>1.4266304347826086</v>
      </c>
      <c r="J171">
        <f t="shared" si="15"/>
        <v>18.536725977351814</v>
      </c>
    </row>
    <row r="172" spans="1:10" x14ac:dyDescent="0.2">
      <c r="A172" s="2">
        <v>53008</v>
      </c>
      <c r="B172">
        <v>2.5000000000000001E-2</v>
      </c>
      <c r="C172">
        <v>94.673258695652166</v>
      </c>
      <c r="D172">
        <v>2.811E-2</v>
      </c>
      <c r="F172" s="3">
        <v>27.295890410958904</v>
      </c>
      <c r="G172" s="2">
        <f t="shared" si="16"/>
        <v>42962</v>
      </c>
      <c r="H172" s="2">
        <f t="shared" si="17"/>
        <v>43146</v>
      </c>
      <c r="I172">
        <f t="shared" si="14"/>
        <v>0.56385869565217395</v>
      </c>
      <c r="J172">
        <f t="shared" si="15"/>
        <v>19.446457708914611</v>
      </c>
    </row>
    <row r="173" spans="1:10" x14ac:dyDescent="0.2">
      <c r="A173" s="2">
        <v>53097</v>
      </c>
      <c r="B173">
        <v>0.03</v>
      </c>
      <c r="C173">
        <v>105.21573043478261</v>
      </c>
      <c r="D173">
        <v>2.802E-2</v>
      </c>
      <c r="F173" s="3">
        <v>27.539726027397261</v>
      </c>
      <c r="G173" s="2">
        <f t="shared" si="16"/>
        <v>42870</v>
      </c>
      <c r="H173" s="2">
        <f t="shared" si="17"/>
        <v>43054</v>
      </c>
      <c r="I173">
        <f t="shared" si="14"/>
        <v>1.4266304347826086</v>
      </c>
      <c r="J173">
        <f t="shared" si="15"/>
        <v>18.672187351600122</v>
      </c>
    </row>
    <row r="174" spans="1:10" x14ac:dyDescent="0.2">
      <c r="A174" s="2">
        <v>53189</v>
      </c>
      <c r="B174">
        <v>2.8750000000000001E-2</v>
      </c>
      <c r="C174">
        <v>101.9297375</v>
      </c>
      <c r="D174">
        <v>2.8079999999999997E-2</v>
      </c>
      <c r="F174" s="3">
        <v>27.791780821917808</v>
      </c>
      <c r="G174" s="2">
        <f t="shared" si="16"/>
        <v>42962</v>
      </c>
      <c r="H174" s="2">
        <f t="shared" si="17"/>
        <v>43146</v>
      </c>
      <c r="I174">
        <f t="shared" si="14"/>
        <v>0.6484375</v>
      </c>
      <c r="J174">
        <f t="shared" si="15"/>
        <v>19.028903577830267</v>
      </c>
    </row>
    <row r="175" spans="1:10" x14ac:dyDescent="0.2">
      <c r="A175" s="2">
        <v>53281</v>
      </c>
      <c r="B175">
        <v>0.03</v>
      </c>
      <c r="C175">
        <v>105.10633043478261</v>
      </c>
      <c r="D175">
        <v>2.809E-2</v>
      </c>
      <c r="F175" s="3">
        <v>28.043835616438358</v>
      </c>
      <c r="G175" s="2">
        <f t="shared" si="16"/>
        <v>42870</v>
      </c>
      <c r="H175" s="2">
        <f t="shared" si="17"/>
        <v>43054</v>
      </c>
      <c r="I175">
        <f t="shared" si="14"/>
        <v>1.4266304347826086</v>
      </c>
      <c r="J175">
        <f t="shared" si="15"/>
        <v>18.780429960554557</v>
      </c>
    </row>
    <row r="176" spans="1:10" x14ac:dyDescent="0.2">
      <c r="A176" s="2">
        <v>53373</v>
      </c>
      <c r="B176">
        <v>2.5000000000000001E-2</v>
      </c>
      <c r="C176">
        <v>94.352958695652177</v>
      </c>
      <c r="D176">
        <v>2.8199999999999999E-2</v>
      </c>
      <c r="F176" s="3">
        <v>28.295890410958904</v>
      </c>
      <c r="G176" s="2">
        <f t="shared" si="16"/>
        <v>42962</v>
      </c>
      <c r="H176" s="2">
        <f t="shared" si="17"/>
        <v>43146</v>
      </c>
      <c r="I176">
        <f t="shared" si="14"/>
        <v>0.56385869565217395</v>
      </c>
      <c r="J176">
        <f t="shared" si="15"/>
        <v>19.645088047224384</v>
      </c>
    </row>
    <row r="177" spans="1:10" x14ac:dyDescent="0.2">
      <c r="A177" s="2">
        <v>53462</v>
      </c>
      <c r="B177">
        <v>2.5000000000000001E-2</v>
      </c>
      <c r="C177">
        <v>94.938858695652172</v>
      </c>
      <c r="D177">
        <v>2.8199999999999999E-2</v>
      </c>
      <c r="F177" s="3">
        <v>28.539726027397261</v>
      </c>
      <c r="G177" s="2">
        <f t="shared" si="16"/>
        <v>42870</v>
      </c>
      <c r="H177" s="2">
        <f t="shared" si="17"/>
        <v>43054</v>
      </c>
      <c r="I177">
        <f t="shared" si="14"/>
        <v>1.1888586956521738</v>
      </c>
      <c r="J177">
        <f t="shared" si="15"/>
        <v>19.535834399897247</v>
      </c>
    </row>
    <row r="178" spans="1:10" x14ac:dyDescent="0.2">
      <c r="A178" s="2">
        <v>53554</v>
      </c>
      <c r="B178">
        <v>2.2499999999999999E-2</v>
      </c>
      <c r="C178">
        <v>89.24967282608695</v>
      </c>
      <c r="D178">
        <v>2.8239999999999998E-2</v>
      </c>
      <c r="F178" s="3">
        <v>28.791780821917808</v>
      </c>
      <c r="G178" s="2">
        <f t="shared" si="16"/>
        <v>42962</v>
      </c>
      <c r="H178" s="2">
        <f t="shared" si="17"/>
        <v>43146</v>
      </c>
      <c r="I178">
        <f t="shared" si="14"/>
        <v>0.50747282608695654</v>
      </c>
      <c r="J178">
        <f t="shared" si="15"/>
        <v>20.072975443612805</v>
      </c>
    </row>
    <row r="179" spans="1:10" x14ac:dyDescent="0.2">
      <c r="A179" s="2">
        <v>53646</v>
      </c>
      <c r="B179">
        <v>2.8750000000000001E-2</v>
      </c>
      <c r="C179">
        <v>102.5468875</v>
      </c>
      <c r="D179">
        <v>2.8149999999999998E-2</v>
      </c>
      <c r="F179" s="3">
        <v>29.043835616438358</v>
      </c>
      <c r="G179" s="2">
        <f t="shared" si="16"/>
        <v>42870</v>
      </c>
      <c r="H179" s="2">
        <f t="shared" si="17"/>
        <v>43054</v>
      </c>
      <c r="I179">
        <f t="shared" si="14"/>
        <v>1.3671875</v>
      </c>
      <c r="J179">
        <f t="shared" si="15"/>
        <v>19.020577027392456</v>
      </c>
    </row>
    <row r="180" spans="1:10" x14ac:dyDescent="0.2">
      <c r="A180" s="2">
        <v>53738</v>
      </c>
      <c r="B180">
        <v>0.03</v>
      </c>
      <c r="C180">
        <v>104.36413043478261</v>
      </c>
      <c r="D180">
        <v>2.8140000000000002E-2</v>
      </c>
      <c r="F180" s="3">
        <v>29.295890410958904</v>
      </c>
      <c r="G180" s="2">
        <f t="shared" si="16"/>
        <v>42962</v>
      </c>
      <c r="H180" s="2">
        <f t="shared" si="17"/>
        <v>43146</v>
      </c>
      <c r="I180">
        <f t="shared" si="14"/>
        <v>0.67663043478260865</v>
      </c>
      <c r="J180">
        <f t="shared" si="15"/>
        <v>18.996851616602065</v>
      </c>
    </row>
    <row r="181" spans="1:10" x14ac:dyDescent="0.2">
      <c r="A181" s="2">
        <v>53827</v>
      </c>
      <c r="B181">
        <v>0.03</v>
      </c>
      <c r="C181">
        <v>105.12193043478261</v>
      </c>
      <c r="D181">
        <v>2.8149999999999998E-2</v>
      </c>
      <c r="F181" s="3">
        <v>29.539726027397261</v>
      </c>
      <c r="G181" s="2">
        <f t="shared" si="16"/>
        <v>42870</v>
      </c>
      <c r="H181" s="2">
        <f t="shared" si="17"/>
        <v>43054</v>
      </c>
      <c r="I181">
        <f t="shared" si="14"/>
        <v>1.4266304347826086</v>
      </c>
      <c r="J181">
        <f t="shared" si="15"/>
        <v>18.850933578135319</v>
      </c>
    </row>
    <row r="182" spans="1:10" x14ac:dyDescent="0.2">
      <c r="A182" s="2">
        <v>53919</v>
      </c>
      <c r="B182">
        <v>2.75E-2</v>
      </c>
      <c r="C182">
        <v>99.245244565217391</v>
      </c>
      <c r="D182">
        <v>2.819E-2</v>
      </c>
      <c r="F182" s="3">
        <v>29.791780821917808</v>
      </c>
      <c r="G182" s="2">
        <f t="shared" si="16"/>
        <v>42962</v>
      </c>
      <c r="H182" s="2">
        <f t="shared" si="17"/>
        <v>43146</v>
      </c>
      <c r="I182">
        <f t="shared" si="14"/>
        <v>0.62024456521739135</v>
      </c>
      <c r="J182">
        <f t="shared" si="15"/>
        <v>19.277604465253745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spotCurvep4</vt:lpstr>
      <vt:lpstr>spotCurve_p3Spline_knot4</vt:lpstr>
      <vt:lpstr>Immunization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 W</dc:creator>
  <cp:lastModifiedBy>Microsoft Office User</cp:lastModifiedBy>
  <dcterms:created xsi:type="dcterms:W3CDTF">2017-11-11T09:36:15Z</dcterms:created>
  <dcterms:modified xsi:type="dcterms:W3CDTF">2018-08-17T08:27:09Z</dcterms:modified>
</cp:coreProperties>
</file>